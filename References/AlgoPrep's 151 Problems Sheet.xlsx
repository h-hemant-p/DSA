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<sst xmlns="http://schemas.openxmlformats.org/spreadsheetml/2006/main" count="100" uniqueCount="99">
  <si>
    <t>Nishant Bhaiya's 151</t>
  </si>
  <si>
    <t>🟩How to make most of this sheet?: https://bit.ly/WhatsAlgoPrep151</t>
  </si>
  <si>
    <t>Serial</t>
  </si>
  <si>
    <t>Problem Name</t>
  </si>
  <si>
    <t>Done?</t>
  </si>
  <si>
    <t>Comments / Hints for the Problem</t>
  </si>
  <si>
    <t>Arrays</t>
  </si>
  <si>
    <t>Rotate Array</t>
  </si>
  <si>
    <t>Squares of a sorted array</t>
  </si>
  <si>
    <t>Kadane's Algo</t>
  </si>
  <si>
    <t>Next Greater Element III</t>
  </si>
  <si>
    <t>Max Chunks To Make Sorted II</t>
  </si>
  <si>
    <t>Range Addition</t>
  </si>
  <si>
    <t>Trapping rain water</t>
  </si>
  <si>
    <t>Two Pointers</t>
  </si>
  <si>
    <t>Container With Most Water</t>
  </si>
  <si>
    <t>Recursion and BackTracking</t>
  </si>
  <si>
    <t>Permutations</t>
  </si>
  <si>
    <t>Permutation Sequence</t>
  </si>
  <si>
    <t>Combination Sum</t>
  </si>
  <si>
    <t>Cmbination Sum 2</t>
  </si>
  <si>
    <t>Letter combination of Phone number</t>
  </si>
  <si>
    <t>N Queens</t>
  </si>
  <si>
    <t>Rat in a Maze Path</t>
  </si>
  <si>
    <t>Bit Manipulation</t>
  </si>
  <si>
    <t>Single Element</t>
  </si>
  <si>
    <t>Single Element 2</t>
  </si>
  <si>
    <t>Single Number 3</t>
  </si>
  <si>
    <t>Divide 2 Integers</t>
  </si>
  <si>
    <t xml:space="preserve"> Max AND Pair.</t>
  </si>
  <si>
    <t>HashMap</t>
  </si>
  <si>
    <t>Count of subarray with sum = k</t>
  </si>
  <si>
    <t>Subarray sum divisible by K</t>
  </si>
  <si>
    <t>Write hashmap</t>
  </si>
  <si>
    <t>Heap</t>
  </si>
  <si>
    <t>Kth Largest Element</t>
  </si>
  <si>
    <t>minimum cost to connect sticks</t>
  </si>
  <si>
    <t>Find Median from Data Stream</t>
  </si>
  <si>
    <t>Binary Search</t>
  </si>
  <si>
    <t>Painter's partition problem</t>
  </si>
  <si>
    <t>Search in rotated sorted array 2</t>
  </si>
  <si>
    <t>Allocate books</t>
  </si>
  <si>
    <t>LinkedList</t>
  </si>
  <si>
    <t>Intersection point of 2 linked list</t>
  </si>
  <si>
    <t>Stacks and Queues</t>
  </si>
  <si>
    <t>Next Greater Element</t>
  </si>
  <si>
    <t>Infix evaluation</t>
  </si>
  <si>
    <t>K queue</t>
  </si>
  <si>
    <t>TREES</t>
  </si>
  <si>
    <t>Top View</t>
  </si>
  <si>
    <t>Max path sum</t>
  </si>
  <si>
    <t>Delete node in bst</t>
  </si>
  <si>
    <t>Next right pointer in each node</t>
  </si>
  <si>
    <t>Trie</t>
  </si>
  <si>
    <t>Implement Trie</t>
  </si>
  <si>
    <t>Max XOR of two numbers in an array</t>
  </si>
  <si>
    <t>Maximum XOR with an element from Array</t>
  </si>
  <si>
    <t>DP</t>
  </si>
  <si>
    <t>longest increasing subsequence</t>
  </si>
  <si>
    <t>building bridges</t>
  </si>
  <si>
    <t>Box stacking</t>
  </si>
  <si>
    <t>Paint house</t>
  </si>
  <si>
    <t>No. of binary string without consecutive 1</t>
  </si>
  <si>
    <t>Possible ways to construct the building</t>
  </si>
  <si>
    <t>Total no. of bst</t>
  </si>
  <si>
    <t>No. of balanced parentheses sequence</t>
  </si>
  <si>
    <t>Min cost path</t>
  </si>
  <si>
    <t>Cherry pickup</t>
  </si>
  <si>
    <t>Cherry pickup 2</t>
  </si>
  <si>
    <t>buy and sell with transaction fee</t>
  </si>
  <si>
    <t>Optimal BST</t>
  </si>
  <si>
    <t>Matrix chain multiplication</t>
  </si>
  <si>
    <t>Longest common subsequence</t>
  </si>
  <si>
    <t>2 egg 100 floor</t>
  </si>
  <si>
    <t>egg drop</t>
  </si>
  <si>
    <t>Regular Expression Matching</t>
  </si>
  <si>
    <t>Palindrome partitioning</t>
  </si>
  <si>
    <t>Frog jump</t>
  </si>
  <si>
    <t>Edit Distance</t>
  </si>
  <si>
    <t>0-1 Knapsack</t>
  </si>
  <si>
    <t>unbounded knapsack</t>
  </si>
  <si>
    <t>Fractional knapsack</t>
  </si>
  <si>
    <t>Coin change combination</t>
  </si>
  <si>
    <t>Coin change permutation</t>
  </si>
  <si>
    <t>GRAPHS</t>
  </si>
  <si>
    <t>Number of Islands</t>
  </si>
  <si>
    <t>Number of Distinct Islands</t>
  </si>
  <si>
    <t>Rotting Oranges</t>
  </si>
  <si>
    <t>swim in rising water</t>
  </si>
  <si>
    <t>Strongly Connected Components (Kosaraju's Algo)</t>
  </si>
  <si>
    <t>Mother Vertex</t>
  </si>
  <si>
    <t>Alien Dictionary</t>
  </si>
  <si>
    <t>Number of Islands II</t>
  </si>
  <si>
    <t>Regions Cut By Slashes</t>
  </si>
  <si>
    <t>Sentence Similarity II</t>
  </si>
  <si>
    <t>Redundant Connection</t>
  </si>
  <si>
    <t>Sliding Puzzle</t>
  </si>
  <si>
    <t>Floyd Warshall</t>
  </si>
  <si>
    <t>remove max number of edges to keep graph traversal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</si>
</sst>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d mmm yyyy"/>
    <numFmt numFmtId="166" formatCode="d mmm"/>
  </numFmts>
  <fonts count="45">
    <font>
      <sz val="10.0"/>
      <color rgb="FF000000"/>
      <name val="Arial"/>
      <scheme val="minor"/>
    </font>
    <font>
      <b/>
      <sz val="14.0"/>
      <color theme="1"/>
      <name val="Lexend"/>
    </font>
    <font>
      <u/>
      <color theme="1"/>
      <name val="Arial"/>
      <scheme val="minor"/>
    </font>
    <font>
      <color theme="1"/>
      <name val="Lexend"/>
    </font>
    <font>
      <b/>
      <sz val="14.0"/>
      <color rgb="FF434343"/>
      <name val="Comfortaa"/>
    </font>
    <font>
      <sz val="11.0"/>
      <color theme="1"/>
      <name val="Lexend"/>
    </font>
    <font>
      <u/>
      <color theme="1"/>
      <name val="Lexend"/>
    </font>
    <font>
      <u/>
      <color rgb="FF0000FF"/>
      <name val="Lexend"/>
    </font>
    <font>
      <sz val="14.0"/>
      <color rgb="FFFFFFFF"/>
      <name val="Comfortaa"/>
    </font>
    <font>
      <b/>
      <color theme="1"/>
      <name val="Arial"/>
      <scheme val="minor"/>
    </font>
    <font>
      <b/>
      <color theme="1"/>
      <name val="Lexend"/>
    </font>
    <font>
      <u/>
      <color rgb="FF0000FF"/>
      <name val="Lexend"/>
    </font>
    <font>
      <u/>
      <sz val="11.0"/>
      <color rgb="FF1155CC"/>
      <name val="Lexend"/>
    </font>
    <font>
      <u/>
      <sz val="11.0"/>
      <color rgb="FF0000FF"/>
      <name val="Lexend"/>
    </font>
    <font>
      <u/>
      <sz val="11.0"/>
      <color rgb="FF0563C1"/>
      <name val="Lexend"/>
    </font>
    <font>
      <u/>
      <sz val="11.0"/>
      <color rgb="FF0563C1"/>
      <name val="Lexend"/>
    </font>
    <font>
      <u/>
      <sz val="11.0"/>
      <color rgb="FF0563C1"/>
      <name val="Lexend"/>
    </font>
    <font>
      <u/>
      <sz val="11.0"/>
      <color rgb="FF1155CC"/>
      <name val="Lexend"/>
    </font>
    <font>
      <sz val="11.0"/>
      <color rgb="FF1155CC"/>
      <name val="Lexend"/>
    </font>
    <font>
      <sz val="11.0"/>
      <color rgb="FF0563C1"/>
      <name val="Lexend"/>
    </font>
    <font>
      <b/>
      <u/>
      <color theme="1"/>
      <name val="Lexend"/>
    </font>
    <font>
      <u/>
      <color rgb="FF0000FF"/>
      <name val="Lexend"/>
    </font>
    <font>
      <u/>
      <sz val="9.0"/>
      <color rgb="FF0000FF"/>
      <name val="Lexend"/>
    </font>
    <font>
      <u/>
      <sz val="9.0"/>
      <color rgb="FF1155CC"/>
      <name val="Lexend"/>
    </font>
    <font>
      <u/>
      <sz val="11.0"/>
      <color rgb="FF1155CC"/>
      <name val="Lexend"/>
    </font>
    <font>
      <u/>
      <color rgb="FF1155CC"/>
      <name val="Lexend"/>
    </font>
    <font>
      <u/>
      <color rgb="FF0000FF"/>
      <name val="Lexend"/>
    </font>
    <font>
      <u/>
      <sz val="11.0"/>
      <color rgb="FF1155CC"/>
      <name val="Lexend"/>
    </font>
    <font>
      <u/>
      <sz val="11.0"/>
      <color rgb="FF1155CC"/>
      <name val="Lexend"/>
    </font>
    <font>
      <u/>
      <sz val="11.0"/>
      <color rgb="FF1155CC"/>
      <name val="Lexend"/>
    </font>
    <font>
      <u/>
      <color rgb="FF1155CC"/>
      <name val="Lexend"/>
    </font>
    <font>
      <u/>
      <color rgb="FF1155CC"/>
      <name val="Lexend"/>
    </font>
    <font>
      <u/>
      <color rgb="FF1155CC"/>
      <name val="Lexend"/>
    </font>
    <font>
      <u/>
      <sz val="11.0"/>
      <color rgb="FF0000FF"/>
      <name val="Lexend"/>
    </font>
    <font>
      <u/>
      <sz val="11.0"/>
      <color rgb="FF1155CC"/>
      <name val="Lexend"/>
    </font>
    <font>
      <u/>
      <sz val="11.0"/>
      <color rgb="FF1155CC"/>
      <name val="Lexend"/>
    </font>
    <font>
      <b/>
      <u/>
      <sz val="11.0"/>
      <color rgb="FF000000"/>
      <name val="Lexend"/>
    </font>
    <font>
      <u/>
      <color theme="1"/>
      <name val="Lexend"/>
    </font>
    <font>
      <u/>
      <sz val="11.0"/>
      <color rgb="FF3C78D8"/>
      <name val="Lexend"/>
    </font>
    <font>
      <u/>
      <sz val="11.0"/>
      <color rgb="FF3C78D8"/>
      <name val="Lexend"/>
    </font>
    <font>
      <u/>
      <sz val="11.0"/>
      <color rgb="FF3C78D8"/>
      <name val="Lexend"/>
    </font>
    <font>
      <u/>
      <color rgb="FF3C78D8"/>
      <name val="Lexend"/>
    </font>
    <font>
      <u/>
      <color rgb="FF0000FF"/>
      <name val="Lexend"/>
    </font>
    <font>
      <u/>
      <color rgb="FF0000FF"/>
      <name val="Lexend"/>
    </font>
    <font>
      <u/>
      <color rgb="FF0000FF"/>
      <name val="Lexend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3" fontId="1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3" fontId="5" numFmtId="0" xfId="0" applyAlignment="1" applyFill="1" applyFont="1">
      <alignment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4" fontId="10" numFmtId="0" xfId="0" applyAlignment="1" applyFill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2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14" numFmtId="0" xfId="0" applyAlignment="1" applyFont="1">
      <alignment horizontal="center" vertical="bottom"/>
    </xf>
    <xf borderId="0" fillId="3" fontId="15" numFmtId="0" xfId="0" applyAlignment="1" applyFont="1">
      <alignment horizontal="center" readingOrder="0" vertical="bottom"/>
    </xf>
    <xf borderId="0" fillId="0" fontId="16" numFmtId="164" xfId="0" applyAlignment="1" applyFont="1" applyNumberFormat="1">
      <alignment horizontal="center" vertical="bottom"/>
    </xf>
    <xf borderId="0" fillId="0" fontId="17" numFmtId="164" xfId="0" applyAlignment="1" applyFont="1" applyNumberFormat="1">
      <alignment horizontal="center" vertical="bottom"/>
    </xf>
    <xf borderId="0" fillId="0" fontId="18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19" numFmtId="0" xfId="0" applyAlignment="1" applyFont="1">
      <alignment horizontal="center" vertical="bottom"/>
    </xf>
    <xf borderId="0" fillId="4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 vertical="bottom"/>
    </xf>
    <xf borderId="0" fillId="3" fontId="22" numFmtId="0" xfId="0" applyAlignment="1" applyFont="1">
      <alignment horizontal="center" readingOrder="0" shrinkToFit="0" vertical="bottom" wrapText="1"/>
    </xf>
    <xf borderId="0" fillId="3" fontId="23" numFmtId="0" xfId="0" applyAlignment="1" applyFont="1">
      <alignment horizontal="center" shrinkToFit="0" vertical="bottom" wrapText="1"/>
    </xf>
    <xf borderId="0" fillId="0" fontId="24" numFmtId="0" xfId="0" applyAlignment="1" applyFont="1">
      <alignment horizontal="center" vertical="bottom"/>
    </xf>
    <xf borderId="0" fillId="3" fontId="25" numFmtId="0" xfId="0" applyAlignment="1" applyFont="1">
      <alignment horizontal="center" vertical="bottom"/>
    </xf>
    <xf borderId="0" fillId="3" fontId="26" numFmtId="0" xfId="0" applyAlignment="1" applyFont="1">
      <alignment horizontal="center" readingOrder="0" vertical="bottom"/>
    </xf>
    <xf borderId="0" fillId="3" fontId="27" numFmtId="0" xfId="0" applyAlignment="1" applyFont="1">
      <alignment horizontal="center" vertical="bottom"/>
    </xf>
    <xf borderId="0" fillId="0" fontId="28" numFmtId="0" xfId="0" applyAlignment="1" applyFont="1">
      <alignment horizontal="center" vertical="bottom"/>
    </xf>
    <xf borderId="0" fillId="0" fontId="29" numFmtId="164" xfId="0" applyAlignment="1" applyFont="1" applyNumberFormat="1">
      <alignment horizontal="center" vertical="bottom"/>
    </xf>
    <xf borderId="0" fillId="0" fontId="30" numFmtId="0" xfId="0" applyAlignment="1" applyFont="1">
      <alignment horizontal="center" readingOrder="0"/>
    </xf>
    <xf borderId="0" fillId="0" fontId="31" numFmtId="0" xfId="0" applyAlignment="1" applyFont="1">
      <alignment horizontal="center" readingOrder="0"/>
    </xf>
    <xf borderId="0" fillId="0" fontId="32" numFmtId="0" xfId="0" applyAlignment="1" applyFont="1">
      <alignment horizontal="center" vertical="bottom"/>
    </xf>
    <xf borderId="0" fillId="0" fontId="33" numFmtId="0" xfId="0" applyAlignment="1" applyFont="1">
      <alignment horizontal="center" readingOrder="0" vertical="bottom"/>
    </xf>
    <xf borderId="0" fillId="0" fontId="34" numFmtId="165" xfId="0" applyAlignment="1" applyFont="1" applyNumberFormat="1">
      <alignment horizontal="center" vertical="bottom"/>
    </xf>
    <xf borderId="0" fillId="0" fontId="35" numFmtId="0" xfId="0" applyAlignment="1" applyFont="1">
      <alignment horizontal="center" readingOrder="0" vertical="bottom"/>
    </xf>
    <xf borderId="0" fillId="4" fontId="36" numFmtId="0" xfId="0" applyAlignment="1" applyFont="1">
      <alignment horizontal="center" readingOrder="0" vertical="bottom"/>
    </xf>
    <xf borderId="0" fillId="0" fontId="37" numFmtId="0" xfId="0" applyAlignment="1" applyFont="1">
      <alignment horizontal="center" readingOrder="0"/>
    </xf>
    <xf borderId="0" fillId="0" fontId="38" numFmtId="0" xfId="0" applyAlignment="1" applyFont="1">
      <alignment horizontal="center" vertical="bottom"/>
    </xf>
    <xf borderId="0" fillId="0" fontId="39" numFmtId="164" xfId="0" applyAlignment="1" applyFont="1" applyNumberFormat="1">
      <alignment horizontal="center" vertical="bottom"/>
    </xf>
    <xf borderId="0" fillId="0" fontId="40" numFmtId="166" xfId="0" applyAlignment="1" applyFont="1" applyNumberFormat="1">
      <alignment horizontal="center" vertical="bottom"/>
    </xf>
    <xf borderId="0" fillId="0" fontId="41" numFmtId="0" xfId="0" applyAlignment="1" applyFont="1">
      <alignment horizontal="center" vertical="bottom"/>
    </xf>
    <xf borderId="0" fillId="0" fontId="42" numFmtId="0" xfId="0" applyAlignment="1" applyFont="1">
      <alignment horizontal="center"/>
    </xf>
    <xf borderId="0" fillId="0" fontId="43" numFmtId="165" xfId="0" applyAlignment="1" applyFont="1" applyNumberFormat="1">
      <alignment horizontal="center"/>
    </xf>
    <xf borderId="0" fillId="0" fontId="44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xor-of-two-numbers-in-an-array/" TargetMode="External"/><Relationship Id="rId42" Type="http://schemas.openxmlformats.org/officeDocument/2006/relationships/hyperlink" Target="https://leetcode.com/problems/longest-increasing-subsequence/" TargetMode="External"/><Relationship Id="rId41" Type="http://schemas.openxmlformats.org/officeDocument/2006/relationships/hyperlink" Target="https://leetcode.com/problems/maximum-xor-with-an-element-from-array/" TargetMode="External"/><Relationship Id="rId44" Type="http://schemas.openxmlformats.org/officeDocument/2006/relationships/hyperlink" Target="https://www.geeksforgeeks.org/dynamic-programming-building-bridges/" TargetMode="External"/><Relationship Id="rId43" Type="http://schemas.openxmlformats.org/officeDocument/2006/relationships/hyperlink" Target="https://leetcode.com/problems/longest-increasing-subsequence/" TargetMode="External"/><Relationship Id="rId46" Type="http://schemas.openxmlformats.org/officeDocument/2006/relationships/hyperlink" Target="https://www.lintcode.com/problem/paint-house/description" TargetMode="External"/><Relationship Id="rId45" Type="http://schemas.openxmlformats.org/officeDocument/2006/relationships/hyperlink" Target="https://practice.geeksforgeeks.org/problems/box-stacking/1" TargetMode="External"/><Relationship Id="rId80" Type="http://schemas.openxmlformats.org/officeDocument/2006/relationships/hyperlink" Target="https://practice.geeksforgeeks.org/problems/implementing-floyd-warshall/0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leetcode.com/problems/remove-max-number-of-edges-to-keep-graph-fully-traversable/" TargetMode="External"/><Relationship Id="rId1" Type="http://schemas.openxmlformats.org/officeDocument/2006/relationships/hyperlink" Target="https://bit.ly/WhatsAlgoPrep151" TargetMode="External"/><Relationship Id="rId2" Type="http://schemas.openxmlformats.org/officeDocument/2006/relationships/hyperlink" Target="https://leetcode.com/problems/rotate-array/" TargetMode="External"/><Relationship Id="rId3" Type="http://schemas.openxmlformats.org/officeDocument/2006/relationships/hyperlink" Target="https://leetcode.com/problems/squares-of-a-sorted-array/" TargetMode="External"/><Relationship Id="rId4" Type="http://schemas.openxmlformats.org/officeDocument/2006/relationships/hyperlink" Target="https://leetcode.com/problems/maximum-subarray/" TargetMode="External"/><Relationship Id="rId9" Type="http://schemas.openxmlformats.org/officeDocument/2006/relationships/hyperlink" Target="https://leetcode.com/problems/container-with-most-water" TargetMode="External"/><Relationship Id="rId48" Type="http://schemas.openxmlformats.org/officeDocument/2006/relationships/hyperlink" Target="https://www.geeksforgeeks.org/count-possible-ways-to-construct-buildings/" TargetMode="External"/><Relationship Id="rId47" Type="http://schemas.openxmlformats.org/officeDocument/2006/relationships/hyperlink" Target="https://www.geeksforgeeks.org/count-number-binary-strings-without-consecutive-1s/" TargetMode="External"/><Relationship Id="rId49" Type="http://schemas.openxmlformats.org/officeDocument/2006/relationships/hyperlink" Target="https://www.geeksforgeeks.org/total-number-of-possible-binary-search-trees-with-n-keys/" TargetMode="External"/><Relationship Id="rId5" Type="http://schemas.openxmlformats.org/officeDocument/2006/relationships/hyperlink" Target="https://leetcode.com/problems/next-greater-element-iii" TargetMode="External"/><Relationship Id="rId6" Type="http://schemas.openxmlformats.org/officeDocument/2006/relationships/hyperlink" Target="https://leetcode.com/problems/max-chunks-to-make-sorted-ii" TargetMode="External"/><Relationship Id="rId7" Type="http://schemas.openxmlformats.org/officeDocument/2006/relationships/hyperlink" Target="https://www.lintcode.com/problem/range-addition/description" TargetMode="External"/><Relationship Id="rId8" Type="http://schemas.openxmlformats.org/officeDocument/2006/relationships/hyperlink" Target="https://leetcode.com/problems/trapping-rain-water/" TargetMode="External"/><Relationship Id="rId73" Type="http://schemas.openxmlformats.org/officeDocument/2006/relationships/hyperlink" Target="https://practice.geeksforgeeks.org/problems/mother-vertex/1" TargetMode="External"/><Relationship Id="rId72" Type="http://schemas.openxmlformats.org/officeDocument/2006/relationships/hyperlink" Target="https://practice.geeksforgeeks.org/problems/strongly-connected-components-kosarajus-algo/1" TargetMode="External"/><Relationship Id="rId31" Type="http://schemas.openxmlformats.org/officeDocument/2006/relationships/hyperlink" Target="https://www.geeksforgeeks.org/write-a-function-to-get-the-intersection-point-of-two-linked-lists/" TargetMode="External"/><Relationship Id="rId75" Type="http://schemas.openxmlformats.org/officeDocument/2006/relationships/hyperlink" Target="https://www.lintcode.com/en/old/problem/number-of-islands-ii/" TargetMode="External"/><Relationship Id="rId30" Type="http://schemas.openxmlformats.org/officeDocument/2006/relationships/hyperlink" Target="https://www.interviewbit.com/problems/allocate-books/" TargetMode="External"/><Relationship Id="rId74" Type="http://schemas.openxmlformats.org/officeDocument/2006/relationships/hyperlink" Target="https://www.geeksforgeeks.org/given-sorted-dictionary-find-precedence-characters/" TargetMode="External"/><Relationship Id="rId33" Type="http://schemas.openxmlformats.org/officeDocument/2006/relationships/hyperlink" Target="https://leetcode.com/problems/basic-calculator/" TargetMode="External"/><Relationship Id="rId77" Type="http://schemas.openxmlformats.org/officeDocument/2006/relationships/hyperlink" Target="https://medium.com/@rebeccahezhang/leetcode-737-sentence-similarity-ii-2ca213f10115" TargetMode="External"/><Relationship Id="rId32" Type="http://schemas.openxmlformats.org/officeDocument/2006/relationships/hyperlink" Target="https://leetcode.com/problems/next-greater-element-i/" TargetMode="External"/><Relationship Id="rId76" Type="http://schemas.openxmlformats.org/officeDocument/2006/relationships/hyperlink" Target="https://leetcode.com/problems/regions-cut-by-slashes" TargetMode="External"/><Relationship Id="rId35" Type="http://schemas.openxmlformats.org/officeDocument/2006/relationships/hyperlink" Target="https://practice.geeksforgeeks.org/problems/top-view-of-binary-tree/1" TargetMode="External"/><Relationship Id="rId79" Type="http://schemas.openxmlformats.org/officeDocument/2006/relationships/hyperlink" Target="https://leetcode.com/problems/sliding-puzzle" TargetMode="External"/><Relationship Id="rId34" Type="http://schemas.openxmlformats.org/officeDocument/2006/relationships/hyperlink" Target="https://www.geeksforgeeks.org/efficiently-implement-k-queues-single-array/" TargetMode="External"/><Relationship Id="rId78" Type="http://schemas.openxmlformats.org/officeDocument/2006/relationships/hyperlink" Target="https://leetcode.com/problems/redundant-connection" TargetMode="External"/><Relationship Id="rId71" Type="http://schemas.openxmlformats.org/officeDocument/2006/relationships/hyperlink" Target="https://leetcode.com/problems/swim-in-rising-water/" TargetMode="External"/><Relationship Id="rId70" Type="http://schemas.openxmlformats.org/officeDocument/2006/relationships/hyperlink" Target="https://leetcode.com/problems/rotting-oranges" TargetMode="External"/><Relationship Id="rId37" Type="http://schemas.openxmlformats.org/officeDocument/2006/relationships/hyperlink" Target="https://leetcode.com/problems/delete-node-in-a-bst/" TargetMode="External"/><Relationship Id="rId36" Type="http://schemas.openxmlformats.org/officeDocument/2006/relationships/hyperlink" Target="https://leetcode.com/problems/binary-tree-maximum-path-sum/" TargetMode="External"/><Relationship Id="rId39" Type="http://schemas.openxmlformats.org/officeDocument/2006/relationships/hyperlink" Target="https://leetcode.com/problems/implement-trie-prefix-tree/" TargetMode="External"/><Relationship Id="rId38" Type="http://schemas.openxmlformats.org/officeDocument/2006/relationships/hyperlink" Target="https://leetcode.com/problems/populating-next-right-pointers-in-each-node/" TargetMode="External"/><Relationship Id="rId62" Type="http://schemas.openxmlformats.org/officeDocument/2006/relationships/hyperlink" Target="https://leetcode.com/problems/edit-distance/" TargetMode="External"/><Relationship Id="rId61" Type="http://schemas.openxmlformats.org/officeDocument/2006/relationships/hyperlink" Target="https://leetcode.com/problems/frog-jump/" TargetMode="External"/><Relationship Id="rId20" Type="http://schemas.openxmlformats.org/officeDocument/2006/relationships/hyperlink" Target="https://leetcode.com/problems/divide-two-integers/" TargetMode="External"/><Relationship Id="rId64" Type="http://schemas.openxmlformats.org/officeDocument/2006/relationships/hyperlink" Target="https://www.geeksforgeeks.org/unbounded-knapsack-repetition-items-allowed/" TargetMode="External"/><Relationship Id="rId63" Type="http://schemas.openxmlformats.org/officeDocument/2006/relationships/hyperlink" Target="https://www.geeksforgeeks.org/0-1-knapsack-problem-dp-10/" TargetMode="External"/><Relationship Id="rId22" Type="http://schemas.openxmlformats.org/officeDocument/2006/relationships/hyperlink" Target="https://leetcode.com/problems/subarray-sum-equals-k/" TargetMode="External"/><Relationship Id="rId66" Type="http://schemas.openxmlformats.org/officeDocument/2006/relationships/hyperlink" Target="https://www.pepcoding.com/resources/online-java-foundation/dynamic-programming-and-greedy/coin-change-combination-official/ojquestion" TargetMode="External"/><Relationship Id="rId21" Type="http://schemas.openxmlformats.org/officeDocument/2006/relationships/hyperlink" Target="https://practice.geeksforgeeks.org/problems/maximum-and-value-1587115620/1" TargetMode="External"/><Relationship Id="rId65" Type="http://schemas.openxmlformats.org/officeDocument/2006/relationships/hyperlink" Target="https://www.geeksforgeeks.org/fractional-knapsack-problem/" TargetMode="External"/><Relationship Id="rId24" Type="http://schemas.openxmlformats.org/officeDocument/2006/relationships/hyperlink" Target="https://www.pepcoding.com/resources/online-java-foundation/hashmap-and-heap/hashmap-official/ojquestion" TargetMode="External"/><Relationship Id="rId68" Type="http://schemas.openxmlformats.org/officeDocument/2006/relationships/hyperlink" Target="https://leetcode.com/problems/number-of-islands" TargetMode="External"/><Relationship Id="rId23" Type="http://schemas.openxmlformats.org/officeDocument/2006/relationships/hyperlink" Target="https://leetcode.com/problems/subarray-sums-divisible-by-k/" TargetMode="External"/><Relationship Id="rId67" Type="http://schemas.openxmlformats.org/officeDocument/2006/relationships/hyperlink" Target="https://www.pepcoding.com/resources/online-java-foundation/dynamic-programming-and-greedy/coin-change-permutations-official/ojquestion" TargetMode="External"/><Relationship Id="rId60" Type="http://schemas.openxmlformats.org/officeDocument/2006/relationships/hyperlink" Target="https://leetcode.com/problems/palindrome-partitioning-ii/" TargetMode="External"/><Relationship Id="rId26" Type="http://schemas.openxmlformats.org/officeDocument/2006/relationships/hyperlink" Target="https://leetcode.com/problems/minimum-cost-to-connect-sticks/" TargetMode="External"/><Relationship Id="rId25" Type="http://schemas.openxmlformats.org/officeDocument/2006/relationships/hyperlink" Target="https://leetcode.com/problems/kth-largest-element-in-an-array/" TargetMode="External"/><Relationship Id="rId69" Type="http://schemas.openxmlformats.org/officeDocument/2006/relationships/hyperlink" Target="https://leetcode.com/problems/number-of-distinct-islands" TargetMode="External"/><Relationship Id="rId28" Type="http://schemas.openxmlformats.org/officeDocument/2006/relationships/hyperlink" Target="https://www.interviewbit.com/problems/painters-partition-problem/" TargetMode="External"/><Relationship Id="rId27" Type="http://schemas.openxmlformats.org/officeDocument/2006/relationships/hyperlink" Target="https://leetcode.com/problems/find-median-from-data-stream/" TargetMode="External"/><Relationship Id="rId29" Type="http://schemas.openxmlformats.org/officeDocument/2006/relationships/hyperlink" Target="https://leetcode.com/problems/search-in-rotated-sorted-array-ii/" TargetMode="External"/><Relationship Id="rId51" Type="http://schemas.openxmlformats.org/officeDocument/2006/relationships/hyperlink" Target="https://leetcode.com/problems/cherry-pickup/" TargetMode="External"/><Relationship Id="rId50" Type="http://schemas.openxmlformats.org/officeDocument/2006/relationships/hyperlink" Target="https://leetcode.com/problems/minimum-path-sum/" TargetMode="External"/><Relationship Id="rId53" Type="http://schemas.openxmlformats.org/officeDocument/2006/relationships/hyperlink" Target="https://leetcode.com/problems/best-time-to-buy-and-sell-stock-with-transaction-fee/" TargetMode="External"/><Relationship Id="rId52" Type="http://schemas.openxmlformats.org/officeDocument/2006/relationships/hyperlink" Target="https://leetcode.com/problems/cherry-pickup-ii/" TargetMode="External"/><Relationship Id="rId11" Type="http://schemas.openxmlformats.org/officeDocument/2006/relationships/hyperlink" Target="https://leetcode.com/problems/permutation-sequence/" TargetMode="External"/><Relationship Id="rId55" Type="http://schemas.openxmlformats.org/officeDocument/2006/relationships/hyperlink" Target="https://www.geeksforgeeks.org/matrix-chain-multiplication-dp-8/" TargetMode="External"/><Relationship Id="rId10" Type="http://schemas.openxmlformats.org/officeDocument/2006/relationships/hyperlink" Target="https://leetcode.com/problems/permutations/" TargetMode="External"/><Relationship Id="rId54" Type="http://schemas.openxmlformats.org/officeDocument/2006/relationships/hyperlink" Target="https://www.geeksforgeeks.org/optimal-binary-search-tree-dp-24/" TargetMode="External"/><Relationship Id="rId13" Type="http://schemas.openxmlformats.org/officeDocument/2006/relationships/hyperlink" Target="https://leetcode.com/problems/combination-sum-ii/" TargetMode="External"/><Relationship Id="rId57" Type="http://schemas.openxmlformats.org/officeDocument/2006/relationships/hyperlink" Target="https://www.geeksforgeeks.org/puzzle-set-35-2-eggs-and-100-floors/" TargetMode="External"/><Relationship Id="rId12" Type="http://schemas.openxmlformats.org/officeDocument/2006/relationships/hyperlink" Target="https://leetcode.com/problems/combination-sum/" TargetMode="External"/><Relationship Id="rId56" Type="http://schemas.openxmlformats.org/officeDocument/2006/relationships/hyperlink" Target="https://leetcode.com/problems/longest-common-subsequence/" TargetMode="External"/><Relationship Id="rId15" Type="http://schemas.openxmlformats.org/officeDocument/2006/relationships/hyperlink" Target="https://leetcode.com/problems/n-queens/" TargetMode="External"/><Relationship Id="rId59" Type="http://schemas.openxmlformats.org/officeDocument/2006/relationships/hyperlink" Target="https://leetcode.com/problems/regular-expression-matching/" TargetMode="External"/><Relationship Id="rId14" Type="http://schemas.openxmlformats.org/officeDocument/2006/relationships/hyperlink" Target="https://leetcode.com/problems/letter-combinations-of-a-phone-number/" TargetMode="External"/><Relationship Id="rId58" Type="http://schemas.openxmlformats.org/officeDocument/2006/relationships/hyperlink" Target="https://www.geeksforgeeks.org/egg-dropping-puzzle-dp-11/" TargetMode="External"/><Relationship Id="rId17" Type="http://schemas.openxmlformats.org/officeDocument/2006/relationships/hyperlink" Target="https://leetcode.com/problems/single-number/" TargetMode="External"/><Relationship Id="rId16" Type="http://schemas.openxmlformats.org/officeDocument/2006/relationships/hyperlink" Target="https://practice.geeksforgeeks.org/problems/rat-in-a-maze-problem/1" TargetMode="External"/><Relationship Id="rId19" Type="http://schemas.openxmlformats.org/officeDocument/2006/relationships/hyperlink" Target="https://leetcode.com/problems/single-number-iii/" TargetMode="External"/><Relationship Id="rId18" Type="http://schemas.openxmlformats.org/officeDocument/2006/relationships/hyperlink" Target="https://leetcode.com/problems/single-number-i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54.13"/>
    <col customWidth="1" min="3" max="3" width="18.38"/>
    <col customWidth="1" min="8" max="8" width="17.13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/>
      <c r="B3" s="5"/>
      <c r="C3" s="6"/>
      <c r="D3" s="7"/>
      <c r="E3" s="7"/>
      <c r="F3" s="7"/>
      <c r="G3" s="7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6"/>
      <c r="B4" s="9" t="s">
        <v>1</v>
      </c>
      <c r="G4" s="7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/>
      <c r="B5" s="10"/>
      <c r="C5" s="6"/>
      <c r="D5" s="7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/>
      <c r="B6" s="11"/>
      <c r="C6" s="6"/>
      <c r="E6" s="8"/>
      <c r="F6" s="8"/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"/>
      <c r="B7" s="1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"/>
      <c r="B8" s="11"/>
      <c r="C8" s="6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"/>
      <c r="B9" s="11"/>
      <c r="C9" s="6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6" t="s">
        <v>2</v>
      </c>
      <c r="B10" s="11" t="s">
        <v>3</v>
      </c>
      <c r="C10" s="6" t="s">
        <v>4</v>
      </c>
      <c r="D10" s="11" t="s">
        <v>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"/>
      <c r="B11" s="1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"/>
      <c r="B12" s="13" t="s">
        <v>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">
        <v>1.0</v>
      </c>
      <c r="B13" s="14" t="s">
        <v>7</v>
      </c>
      <c r="C13" s="2"/>
      <c r="D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">
        <v>2.0</v>
      </c>
      <c r="B14" s="15" t="s">
        <v>8</v>
      </c>
      <c r="C14" s="2"/>
      <c r="D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">
        <v>3.0</v>
      </c>
      <c r="B15" s="16" t="s">
        <v>9</v>
      </c>
      <c r="C15" s="2"/>
      <c r="D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">
        <v>4.0</v>
      </c>
      <c r="B16" s="17" t="str">
        <f>HYPERLINK("https://leetcode.com/problems/maximum-product-subarray/","maximum product subarray")</f>
        <v>maximum product subarray</v>
      </c>
      <c r="C16" s="2"/>
      <c r="D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">
        <v>5.0</v>
      </c>
      <c r="B17" s="15" t="str">
        <f>HYPERLINK("https://leetcode.com/problems/majority-element/","majority element")</f>
        <v>majority element</v>
      </c>
      <c r="C17" s="2"/>
      <c r="D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">
        <v>6.0</v>
      </c>
      <c r="B18" s="15" t="str">
        <f>HYPERLINK("https://leetcode.com/problems/majority-element-ii/","majority element 2")</f>
        <v>majority element 2</v>
      </c>
      <c r="C18" s="2"/>
      <c r="D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">
        <v>7.0</v>
      </c>
      <c r="B19" s="18" t="s">
        <v>10</v>
      </c>
      <c r="C19" s="2"/>
      <c r="D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">
        <v>8.0</v>
      </c>
      <c r="B20" s="15" t="str">
        <f>HYPERLINK("https://leetcode.com/problems/max-chunks-to-make-sorted/","Max chunks to make sorted")</f>
        <v>Max chunks to make sorted</v>
      </c>
      <c r="C20" s="2"/>
      <c r="D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">
        <v>9.0</v>
      </c>
      <c r="B21" s="19" t="s">
        <v>11</v>
      </c>
      <c r="C21" s="2"/>
      <c r="D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">
        <v>10.0</v>
      </c>
      <c r="B22" s="19" t="str">
        <f>HYPERLINK("https://leetcode.com/problems/number-of-subarrays-with-bounded-maximum/","number of subarrays with bounded maximum")</f>
        <v>number of subarrays with bounded maximum</v>
      </c>
      <c r="C22" s="2"/>
      <c r="D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">
        <v>11.0</v>
      </c>
      <c r="B23" s="20" t="str">
        <f>HYPERLINK("https://leetcode.com/problems/first-missing-positive/","First missing positive")</f>
        <v>First missing positive</v>
      </c>
      <c r="C23" s="2"/>
      <c r="D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">
        <v>12.0</v>
      </c>
      <c r="B24" s="15" t="s">
        <v>12</v>
      </c>
      <c r="C24" s="2"/>
      <c r="D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">
        <v>13.0</v>
      </c>
      <c r="B25" s="17" t="str">
        <f>HYPERLINK("https://www.geeksforgeeks.org/minimum-number-platforms-required-railwaybus-station/","Min No. of Platform")</f>
        <v>Min No. of Platform</v>
      </c>
      <c r="C25" s="2"/>
      <c r="D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">
        <v>14.0</v>
      </c>
      <c r="B26" s="21" t="s">
        <v>13</v>
      </c>
      <c r="C26" s="2"/>
      <c r="D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2"/>
      <c r="B27" s="1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"/>
      <c r="B28" s="13" t="s">
        <v>14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">
        <v>15.0</v>
      </c>
      <c r="B29" s="23" t="s">
        <v>15</v>
      </c>
      <c r="C29" s="2"/>
      <c r="D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">
        <v>16.0</v>
      </c>
      <c r="B30" s="23" t="str">
        <f>HYPERLINK("https://www.geeksforgeeks.org/given-an-array-a-and-a-number-x-check-for-pair-in-a-with-sum-as-x/","Two Sum")</f>
        <v>Two Sum</v>
      </c>
      <c r="C30" s="2"/>
      <c r="D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">
        <v>17.0</v>
      </c>
      <c r="B31" s="23" t="str">
        <f>HYPERLINK("https://www.geeksforgeeks.org/find-a-pair-with-the-given-difference/","Two Difference")</f>
        <v>Two Difference</v>
      </c>
      <c r="C31" s="2"/>
      <c r="D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2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"/>
      <c r="B33" s="13" t="s">
        <v>16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">
        <v>18.0</v>
      </c>
      <c r="B34" s="14" t="s">
        <v>17</v>
      </c>
      <c r="C34" s="2"/>
      <c r="D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">
        <v>19.0</v>
      </c>
      <c r="B35" s="14" t="s">
        <v>18</v>
      </c>
      <c r="C35" s="2"/>
      <c r="D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">
        <v>20.0</v>
      </c>
      <c r="B36" s="14" t="s">
        <v>19</v>
      </c>
      <c r="C36" s="2"/>
      <c r="D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4">
        <v>21.0</v>
      </c>
      <c r="B37" s="14" t="s">
        <v>20</v>
      </c>
      <c r="C37" s="2"/>
      <c r="D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">
        <v>22.0</v>
      </c>
      <c r="B38" s="14" t="s">
        <v>21</v>
      </c>
      <c r="C38" s="2"/>
      <c r="D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4">
        <v>23.0</v>
      </c>
      <c r="B39" s="14" t="s">
        <v>22</v>
      </c>
      <c r="C39" s="2"/>
      <c r="D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">
        <v>24.0</v>
      </c>
      <c r="B40" s="14" t="s">
        <v>23</v>
      </c>
      <c r="C40" s="2"/>
      <c r="D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2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4"/>
      <c r="B42" s="24" t="s">
        <v>24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">
        <v>25.0</v>
      </c>
      <c r="B43" s="25" t="s">
        <v>25</v>
      </c>
      <c r="C43" s="2"/>
      <c r="D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">
        <v>26.0</v>
      </c>
      <c r="B44" s="26" t="s">
        <v>26</v>
      </c>
      <c r="C44" s="2"/>
      <c r="D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">
        <v>27.0</v>
      </c>
      <c r="B45" s="26" t="s">
        <v>27</v>
      </c>
      <c r="C45" s="2"/>
      <c r="D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">
        <v>28.0</v>
      </c>
      <c r="B46" s="27" t="s">
        <v>28</v>
      </c>
      <c r="C46" s="2"/>
      <c r="D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">
        <v>29.0</v>
      </c>
      <c r="B47" s="27" t="s">
        <v>29</v>
      </c>
      <c r="C47" s="2"/>
      <c r="D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2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"/>
      <c r="B49" s="24" t="s">
        <v>30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">
        <v>30.0</v>
      </c>
      <c r="B50" s="28" t="str">
        <f>HYPERLINK("https://www.geeksforgeeks.org/check-whether-arithmetic-progression-can-formed-given-array/","Check AP sequence")</f>
        <v>Check AP sequence</v>
      </c>
      <c r="C50" s="2"/>
      <c r="D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">
        <v>31.0</v>
      </c>
      <c r="B51" s="28" t="str">
        <f>HYPERLINK("https://leetcode.com/problems/grid-illumination/","Grid illumination")</f>
        <v>Grid illumination</v>
      </c>
      <c r="C51" s="2"/>
      <c r="D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">
        <v>32.0</v>
      </c>
      <c r="B52" s="28" t="str">
        <f>HYPERLINK("https://leetcode.com/problems/brick-wall/","Brick wall")</f>
        <v>Brick wall</v>
      </c>
      <c r="C52" s="2"/>
      <c r="D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4">
        <v>33.0</v>
      </c>
      <c r="B53" s="29" t="s">
        <v>31</v>
      </c>
      <c r="C53" s="2"/>
      <c r="D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">
        <v>34.0</v>
      </c>
      <c r="B54" s="30" t="s">
        <v>32</v>
      </c>
      <c r="C54" s="2"/>
      <c r="D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">
        <v>35.0</v>
      </c>
      <c r="B55" s="31" t="str">
        <f>HYPERLINK("https://leetcode.com/problems/insert-delete-getrandom-o1/","Insert Delete GetRandom O(1)")</f>
        <v>Insert Delete GetRandom O(1)</v>
      </c>
      <c r="C55" s="2"/>
      <c r="D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">
        <v>36.0</v>
      </c>
      <c r="B56" s="31" t="str">
        <f>HYPERLINK("https://leetcode.com/problems/insert-delete-getrandom-o1-duplicates-allowed/","Insert delete get random duplicates allowed")</f>
        <v>Insert delete get random duplicates allowed</v>
      </c>
      <c r="C56" s="2"/>
      <c r="D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">
        <v>37.0</v>
      </c>
      <c r="B57" s="32" t="str">
        <f>HYPERLINK("https://leetcode.com/problems/longest-consecutive-sequence/","Longest consecutive sequence")</f>
        <v>Longest consecutive sequence</v>
      </c>
      <c r="C57" s="2"/>
      <c r="D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">
        <v>38.0</v>
      </c>
      <c r="B58" s="28" t="str">
        <f>HYPERLINK("https://leetcode.com/problems/find-all-anagrams-in-a-string/","Find all anagrams in a string")</f>
        <v>Find all anagrams in a string</v>
      </c>
      <c r="C58" s="2"/>
      <c r="D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">
        <v>39.0</v>
      </c>
      <c r="B59" s="33" t="str">
        <f>HYPERLINK("https://leetcode.com/problems/minimum-window-substring/","Find smallest size of string containing all char of other")</f>
        <v>Find smallest size of string containing all char of other</v>
      </c>
      <c r="C59" s="2"/>
      <c r="D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">
        <v>40.0</v>
      </c>
      <c r="B60" s="34" t="s">
        <v>33</v>
      </c>
      <c r="C60" s="2"/>
      <c r="D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">
        <v>41.0</v>
      </c>
      <c r="B61" s="32" t="str">
        <f>HYPERLINK("https://www.geeksforgeeks.org/count-subarrays-equal-number-1s-0s/","subarray with equal number of 0 and 1")</f>
        <v>subarray with equal number of 0 and 1</v>
      </c>
      <c r="C61" s="2"/>
      <c r="D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">
        <v>42.0</v>
      </c>
      <c r="B62" s="32" t="str">
        <f>HYPERLINK("https://www.geeksforgeeks.org/substring-equal-number-0-1-2/","Substring with equal 0 1 and 2")</f>
        <v>Substring with equal 0 1 and 2</v>
      </c>
      <c r="C62" s="2"/>
      <c r="D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2"/>
      <c r="B63" s="8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"/>
      <c r="B64" s="24" t="s">
        <v>34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">
        <v>43.0</v>
      </c>
      <c r="B65" s="14" t="s">
        <v>35</v>
      </c>
      <c r="C65" s="2"/>
      <c r="D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">
        <v>44.0</v>
      </c>
      <c r="B66" s="28" t="str">
        <f>HYPERLINK("https://leetcode.com/problems/minimum-number-of-refueling-stops/","Minimum number of refueling spots")</f>
        <v>Minimum number of refueling spots</v>
      </c>
      <c r="C66" s="2"/>
      <c r="D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">
        <v>45.0</v>
      </c>
      <c r="B67" s="35" t="s">
        <v>36</v>
      </c>
      <c r="C67" s="2"/>
      <c r="D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">
        <v>46.0</v>
      </c>
      <c r="B68" s="28" t="str">
        <f>HYPERLINK("https://leetcode.com/problems/employee-free-time/","Employee Free time")</f>
        <v>Employee Free time</v>
      </c>
      <c r="C68" s="2"/>
      <c r="D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">
        <v>47.0</v>
      </c>
      <c r="B69" s="14" t="s">
        <v>37</v>
      </c>
      <c r="C69" s="2"/>
      <c r="D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2"/>
      <c r="B70" s="8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4"/>
      <c r="B71" s="24" t="s">
        <v>38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">
        <v>48.0</v>
      </c>
      <c r="B72" s="33" t="str">
        <f>HYPERLINK("https://leetcode.com/problems/capacity-to-ship-packages-within-d-days/","capacity to ship within D days")</f>
        <v>capacity to ship within D days</v>
      </c>
      <c r="C72" s="2"/>
      <c r="D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">
        <v>49.0</v>
      </c>
      <c r="B73" s="28" t="s">
        <v>39</v>
      </c>
      <c r="C73" s="2"/>
      <c r="D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">
        <v>50.0</v>
      </c>
      <c r="B74" s="28" t="str">
        <f>HYPERLINK("https://leetcode.com/problems/search-in-rotated-sorted-array/","search in rotated sorted array")</f>
        <v>search in rotated sorted array</v>
      </c>
      <c r="C74" s="2"/>
      <c r="D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">
        <v>51.0</v>
      </c>
      <c r="B75" s="28" t="s">
        <v>40</v>
      </c>
      <c r="C75" s="2"/>
      <c r="D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4">
        <v>52.0</v>
      </c>
      <c r="B76" s="36" t="s">
        <v>41</v>
      </c>
      <c r="C76" s="2"/>
      <c r="D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">
        <v>53.0</v>
      </c>
      <c r="B77" s="28" t="str">
        <f>HYPERLINK("https://leetcode.com/problems/median-of-two-sorted-arrays/","median of two sorted array")</f>
        <v>median of two sorted array</v>
      </c>
      <c r="C77" s="2"/>
      <c r="D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2"/>
      <c r="B78" s="8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4"/>
      <c r="B79" s="24" t="s">
        <v>42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4">
        <v>54.0</v>
      </c>
      <c r="B80" s="28" t="str">
        <f>HYPERLINK("https://leetcode.com/problems/reverse-linked-list/","reverse LinkedList")</f>
        <v>reverse LinkedList</v>
      </c>
      <c r="C80" s="2"/>
      <c r="D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">
        <v>55.0</v>
      </c>
      <c r="B81" s="28" t="str">
        <f>HYPERLINK("https://www.geeksforgeeks.org/write-a-c-function-to-print-the-middle-of-the-linked-list/","Find the middle element")</f>
        <v>Find the middle element</v>
      </c>
      <c r="C81" s="2"/>
      <c r="D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">
        <v>56.0</v>
      </c>
      <c r="B82" s="28" t="str">
        <f>HYPERLINK("https://www.geeksforgeeks.org/detect-loop-in-a-linked-list/","Floyd cycle")</f>
        <v>Floyd cycle</v>
      </c>
      <c r="C82" s="2"/>
      <c r="D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">
        <v>57.0</v>
      </c>
      <c r="B83" s="28" t="str">
        <f>HYPERLINK("https://www.geeksforgeeks.org/a-linked-list-with-next-and-arbit-pointer/","Clone a linkedlist")</f>
        <v>Clone a linkedlist</v>
      </c>
      <c r="C83" s="2"/>
      <c r="D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">
        <v>58.0</v>
      </c>
      <c r="B84" s="28" t="s">
        <v>43</v>
      </c>
      <c r="C84" s="2"/>
      <c r="D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">
        <v>59.0</v>
      </c>
      <c r="B85" s="28" t="str">
        <f>HYPERLINK("https://leetcode.com/problems/lru-cache/","LRU Cache")</f>
        <v>LRU Cache</v>
      </c>
      <c r="C85" s="2"/>
      <c r="D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2"/>
      <c r="B86" s="8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"/>
      <c r="B87" s="24" t="s">
        <v>44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">
        <v>60.0</v>
      </c>
      <c r="B88" s="37" t="s">
        <v>45</v>
      </c>
      <c r="C88" s="2"/>
      <c r="D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4">
        <v>61.0</v>
      </c>
      <c r="B89" s="28" t="str">
        <f>HYPERLINK("https://leetcode.com/problems/largest-rectangle-in-histogram/","Largest Rectangular Area Histogram")</f>
        <v>Largest Rectangular Area Histogram</v>
      </c>
      <c r="C89" s="2"/>
      <c r="D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">
        <v>62.0</v>
      </c>
      <c r="B90" s="28" t="str">
        <f>HYPERLINK("https://leetcode.com/problems/maximal-rectangle/","maximu size binary matrix containing 1")</f>
        <v>maximu size binary matrix containing 1</v>
      </c>
      <c r="C90" s="2"/>
      <c r="D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">
        <v>63.0</v>
      </c>
      <c r="B91" s="28" t="str">
        <f>HYPERLINK("https://leetcode.com/problems/valid-parentheses/","Valid Parentheses")</f>
        <v>Valid Parentheses</v>
      </c>
      <c r="C91" s="2"/>
      <c r="D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">
        <v>64.0</v>
      </c>
      <c r="B92" s="28" t="str">
        <f>HYPERLINK("https://leetcode.com/problems/min-stack/","Min Stack")</f>
        <v>Min Stack</v>
      </c>
      <c r="C92" s="2"/>
      <c r="D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">
        <v>65.0</v>
      </c>
      <c r="B93" s="38" t="str">
        <f>HYPERLINK("https://www.geeksforgeeks.org/efficiently-implement-k-stacks-single-array/","K stacks in a single array")</f>
        <v>K stacks in a single array</v>
      </c>
      <c r="C93" s="2"/>
      <c r="D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">
        <v>66.0</v>
      </c>
      <c r="B94" s="28" t="s">
        <v>46</v>
      </c>
      <c r="C94" s="2"/>
      <c r="D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4">
        <v>67.0</v>
      </c>
      <c r="B95" s="28" t="str">
        <f>HYPERLINK("https://www.geeksforgeeks.org/reversing-first-k-elements-queue/","K reverse in a queue")</f>
        <v>K reverse in a queue</v>
      </c>
      <c r="C95" s="2"/>
      <c r="D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">
        <v>68.0</v>
      </c>
      <c r="B96" s="28" t="s">
        <v>47</v>
      </c>
      <c r="C96" s="2"/>
      <c r="D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2"/>
      <c r="B97" s="8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2"/>
      <c r="B98" s="8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"/>
      <c r="B99" s="24" t="s">
        <v>48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">
        <v>69.0</v>
      </c>
      <c r="B100" s="28" t="str">
        <f>HYPERLINK("https://leetcode.com/problems/binary-tree-preorder-traversal/","Preorder Traversal")</f>
        <v>Preorder Traversal</v>
      </c>
      <c r="C100" s="2"/>
      <c r="D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">
        <v>70.0</v>
      </c>
      <c r="B101" s="28" t="str">
        <f>HYPERLINK("https://leetcode.com/problems/binary-tree-inorder-traversal/","Inorder Traversal")</f>
        <v>Inorder Traversal</v>
      </c>
      <c r="C101" s="2"/>
      <c r="D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">
        <v>71.0</v>
      </c>
      <c r="B102" s="28" t="str">
        <f>HYPERLINK("https://leetcode.com/problems/binary-tree-postorder-traversal/","Postorder Traversal")</f>
        <v>Postorder Traversal</v>
      </c>
      <c r="C102" s="2"/>
      <c r="D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">
        <v>72.0</v>
      </c>
      <c r="B103" s="28" t="str">
        <f>HYPERLINK("https://leetcode.com/problems/binary-tree-right-side-view/","right side view")</f>
        <v>right side view</v>
      </c>
      <c r="C103" s="2"/>
      <c r="D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">
        <v>73.0</v>
      </c>
      <c r="B104" s="28" t="str">
        <f>HYPERLINK("https://practice.geeksforgeeks.org/problems/left-view-of-binary-tree/1","Left View")</f>
        <v>Left View</v>
      </c>
      <c r="C104" s="2"/>
      <c r="D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">
        <v>74.0</v>
      </c>
      <c r="B105" s="28" t="s">
        <v>49</v>
      </c>
      <c r="C105" s="2"/>
      <c r="D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">
        <v>75.0</v>
      </c>
      <c r="B106" s="28" t="str">
        <f>HYPERLINK("https://practice.geeksforgeeks.org/problems/bottom-view-of-binary-tree/1","Bottom View")</f>
        <v>Bottom View</v>
      </c>
      <c r="C106" s="2"/>
      <c r="D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">
        <v>76.0</v>
      </c>
      <c r="B107" s="28" t="str">
        <f>HYPERLINK("https://leetcode.com/problems/vertical-order-traversal-of-a-binary-tree/","Vertical order")</f>
        <v>Vertical order</v>
      </c>
      <c r="C107" s="2"/>
      <c r="D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">
        <v>77.0</v>
      </c>
      <c r="B108" s="28" t="str">
        <f>HYPERLINK("https://www.geeksforgeeks.org/diagonal-traversal-of-binary-tree/","Diagonal Traversal")</f>
        <v>Diagonal Traversal</v>
      </c>
      <c r="C108" s="2"/>
      <c r="D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">
        <v>78.0</v>
      </c>
      <c r="B109" s="28" t="str">
        <f>HYPERLINK("https://leetcode.com/problems/boundary-of-binary-tree/","Boundary Traversal")</f>
        <v>Boundary Traversal</v>
      </c>
      <c r="C109" s="2"/>
      <c r="D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4">
        <v>79.0</v>
      </c>
      <c r="B110" s="28" t="str">
        <f>HYPERLINK("https://leetcode.com/problems/binary-tree-cameras/","Binary Tree Cameras")</f>
        <v>Binary Tree Cameras</v>
      </c>
      <c r="C110" s="2"/>
      <c r="D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">
        <v>80.0</v>
      </c>
      <c r="B111" s="28" t="s">
        <v>50</v>
      </c>
      <c r="C111" s="2"/>
      <c r="D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">
        <v>81.0</v>
      </c>
      <c r="B112" s="28" t="s">
        <v>51</v>
      </c>
      <c r="C112" s="2"/>
      <c r="D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">
        <v>82.0</v>
      </c>
      <c r="B113" s="28" t="str">
        <f>HYPERLINK("https://leetcode.com/problems/construct-binary-tree-from-preorder-and-inorder-traversal/","Construct from inorder and preorder")</f>
        <v>Construct from inorder and preorder</v>
      </c>
      <c r="C113" s="2"/>
      <c r="D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">
        <v>83.0</v>
      </c>
      <c r="B114" s="28" t="s">
        <v>52</v>
      </c>
      <c r="C114" s="2"/>
      <c r="D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">
        <v>84.0</v>
      </c>
      <c r="B115" s="38" t="str">
        <f>HYPERLINK("https://www.geeksforgeeks.org/convert-a-binary-tree-to-a-circular-doubly-link-list/","Convert a binary tree to circular doubly linked list")</f>
        <v>Convert a binary tree to circular doubly linked list</v>
      </c>
      <c r="C115" s="2"/>
      <c r="D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">
        <v>85.0</v>
      </c>
      <c r="B116" s="28" t="str">
        <f>HYPERLINK("https://www.geeksforgeeks.org/in-place-conversion-of-sorted-dll-to-balanced-bst/","Conversion of sorted DLL to BST")</f>
        <v>Conversion of sorted DLL to BST</v>
      </c>
      <c r="C116" s="2"/>
      <c r="D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">
        <v>86.0</v>
      </c>
      <c r="B117" s="28" t="str">
        <f>HYPERLINK("https://practice.geeksforgeeks.org/problems/lowest-common-ancestor-in-a-binary-tree/1","Lowest common ancestor")</f>
        <v>Lowest common ancestor</v>
      </c>
      <c r="C117" s="2"/>
      <c r="D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">
        <v>87.0</v>
      </c>
      <c r="B118" s="28" t="str">
        <f>HYPERLINK("https://leetcode.com/problems/serialize-and-deserialize-binary-tree/","serialize and deserialise")</f>
        <v>serialize and deserialise</v>
      </c>
      <c r="C118" s="2"/>
      <c r="D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2"/>
      <c r="B119" s="28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"/>
      <c r="B120" s="3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"/>
      <c r="B121" s="40" t="s">
        <v>53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">
        <v>88.0</v>
      </c>
      <c r="B122" s="37" t="s">
        <v>54</v>
      </c>
      <c r="C122" s="2"/>
      <c r="D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">
        <v>89.0</v>
      </c>
      <c r="B123" s="37" t="s">
        <v>55</v>
      </c>
      <c r="C123" s="2"/>
      <c r="D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">
        <v>90.0</v>
      </c>
      <c r="B124" s="37" t="s">
        <v>56</v>
      </c>
      <c r="C124" s="2"/>
      <c r="D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"/>
      <c r="B125" s="4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4"/>
      <c r="B126" s="24" t="s">
        <v>57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">
        <v>91.0</v>
      </c>
      <c r="B127" s="42" t="s">
        <v>58</v>
      </c>
      <c r="C127" s="2"/>
      <c r="D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4">
        <v>92.0</v>
      </c>
      <c r="B128" s="42" t="s">
        <v>58</v>
      </c>
      <c r="C128" s="2"/>
      <c r="D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4">
        <v>93.0</v>
      </c>
      <c r="B129" s="42" t="s">
        <v>59</v>
      </c>
      <c r="C129" s="2"/>
      <c r="D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">
        <v>94.0</v>
      </c>
      <c r="B130" s="43" t="str">
        <f>HYPERLINK("https://leetcode.com/problems/russian-doll-envelopes/","Russian doll envelopes")</f>
        <v>Russian doll envelopes</v>
      </c>
      <c r="C130" s="2"/>
      <c r="D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">
        <v>95.0</v>
      </c>
      <c r="B131" s="42" t="s">
        <v>60</v>
      </c>
      <c r="C131" s="2"/>
      <c r="D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">
        <v>96.0</v>
      </c>
      <c r="B132" s="43" t="s">
        <v>61</v>
      </c>
      <c r="C132" s="2"/>
      <c r="D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4">
        <v>97.0</v>
      </c>
      <c r="B133" s="42" t="s">
        <v>62</v>
      </c>
      <c r="C133" s="2"/>
      <c r="D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">
        <v>98.0</v>
      </c>
      <c r="B134" s="42" t="s">
        <v>63</v>
      </c>
      <c r="C134" s="2"/>
      <c r="D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">
        <v>99.0</v>
      </c>
      <c r="B135" s="43" t="s">
        <v>64</v>
      </c>
      <c r="C135" s="2"/>
      <c r="D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">
        <v>100.0</v>
      </c>
      <c r="B136" s="42" t="s">
        <v>65</v>
      </c>
      <c r="C136" s="2"/>
      <c r="D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">
        <v>101.0</v>
      </c>
      <c r="B137" s="43" t="s">
        <v>66</v>
      </c>
      <c r="C137" s="2"/>
      <c r="D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">
        <v>102.0</v>
      </c>
      <c r="B138" s="42" t="s">
        <v>67</v>
      </c>
      <c r="C138" s="2"/>
      <c r="D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">
        <v>103.0</v>
      </c>
      <c r="B139" s="42" t="s">
        <v>68</v>
      </c>
      <c r="C139" s="2"/>
      <c r="D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">
        <v>104.0</v>
      </c>
      <c r="B140" s="43" t="str">
        <f>HYPERLINK("https://leetcode.com/problems/best-time-to-buy-and-sell-stock/","best time to buy and sell stock")</f>
        <v>best time to buy and sell stock</v>
      </c>
      <c r="C140" s="2"/>
      <c r="D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4">
        <v>105.0</v>
      </c>
      <c r="B141" s="43" t="str">
        <f>HYPERLINK("https://leetcode.com/problems/best-time-to-buy-and-sell-stock-ii/","best time to buy and sell 2")</f>
        <v>best time to buy and sell 2</v>
      </c>
      <c r="C141" s="2"/>
      <c r="D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">
        <v>106.0</v>
      </c>
      <c r="B142" s="42" t="s">
        <v>69</v>
      </c>
      <c r="C142" s="2"/>
      <c r="D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">
        <v>107.0</v>
      </c>
      <c r="B143" s="43" t="str">
        <f>HYPERLINK("https://leetcode.com/problems/best-time-to-buy-and-sell-stock-with-cooldown/","best time to buy and sell with cool down")</f>
        <v>best time to buy and sell with cool down</v>
      </c>
      <c r="C143" s="2"/>
      <c r="D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4">
        <v>108.0</v>
      </c>
      <c r="B144" s="43" t="str">
        <f>HYPERLINK("https://leetcode.com/problems/best-time-to-buy-and-sell-stock-iii/","best time to buy and sell 3")</f>
        <v>best time to buy and sell 3</v>
      </c>
      <c r="C144" s="2"/>
      <c r="D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4">
        <v>109.0</v>
      </c>
      <c r="B145" s="43" t="str">
        <f>HYPERLINK("https://leetcode.com/problems/best-time-to-buy-and-sell-stock-iv/","best time to but and sell 4")</f>
        <v>best time to but and sell 4</v>
      </c>
      <c r="C145" s="2"/>
      <c r="D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">
        <v>110.0</v>
      </c>
      <c r="B146" s="44" t="str">
        <f>HYPERLINK("https://leetcode.com/problems/burst-balloons/","burst balloons")</f>
        <v>burst balloons</v>
      </c>
      <c r="C146" s="2"/>
      <c r="D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4">
        <v>111.0</v>
      </c>
      <c r="B147" s="42" t="s">
        <v>70</v>
      </c>
      <c r="C147" s="2"/>
      <c r="D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4">
        <v>112.0</v>
      </c>
      <c r="B148" s="44" t="s">
        <v>71</v>
      </c>
      <c r="C148" s="2"/>
      <c r="D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4">
        <v>113.0</v>
      </c>
      <c r="B149" s="42" t="s">
        <v>72</v>
      </c>
      <c r="C149" s="2"/>
      <c r="D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4">
        <v>114.0</v>
      </c>
      <c r="B150" s="43" t="str">
        <f>HYPERLINK("https://www.geeksforgeeks.org/count-palindromic-subsequence-given-string/","Count all pallindromic subsequence")</f>
        <v>Count all pallindromic subsequence</v>
      </c>
      <c r="C150" s="2"/>
      <c r="D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4">
        <v>115.0</v>
      </c>
      <c r="B151" s="43" t="str">
        <f>HYPERLINK("https://leetcode.com/problems/count-different-palindromic-subsequences/","Count distinct pallindromic subsequence")</f>
        <v>Count distinct pallindromic subsequence</v>
      </c>
      <c r="C151" s="2"/>
      <c r="D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4">
        <v>116.0</v>
      </c>
      <c r="B152" s="42" t="str">
        <f>HYPERLINK("https://www.geeksforgeeks.org/number-subsequences-form-ai-bj-ck/","No. of sequence of type a^i+b^j+c^k")</f>
        <v>No. of sequence of type a^i+b^j+c^k</v>
      </c>
      <c r="C152" s="2"/>
      <c r="D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4">
        <v>117.0</v>
      </c>
      <c r="B153" s="43" t="s">
        <v>73</v>
      </c>
      <c r="C153" s="2"/>
      <c r="D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4">
        <v>118.0</v>
      </c>
      <c r="B154" s="43" t="s">
        <v>74</v>
      </c>
      <c r="C154" s="2"/>
      <c r="D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4">
        <v>119.0</v>
      </c>
      <c r="B155" s="42" t="s">
        <v>75</v>
      </c>
      <c r="C155" s="2"/>
      <c r="D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4">
        <v>120.0</v>
      </c>
      <c r="B156" s="42" t="s">
        <v>76</v>
      </c>
      <c r="C156" s="2"/>
      <c r="D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4">
        <v>121.0</v>
      </c>
      <c r="B157" s="42" t="s">
        <v>77</v>
      </c>
      <c r="C157" s="2"/>
      <c r="D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4">
        <v>122.0</v>
      </c>
      <c r="B158" s="42" t="s">
        <v>78</v>
      </c>
      <c r="C158" s="2"/>
      <c r="D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4">
        <v>123.0</v>
      </c>
      <c r="B159" s="45" t="s">
        <v>79</v>
      </c>
      <c r="C159" s="2"/>
      <c r="D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4">
        <v>124.0</v>
      </c>
      <c r="B160" s="45" t="s">
        <v>80</v>
      </c>
      <c r="C160" s="2"/>
      <c r="D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4">
        <v>125.0</v>
      </c>
      <c r="B161" s="45" t="s">
        <v>81</v>
      </c>
      <c r="C161" s="2"/>
      <c r="D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4">
        <v>126.0</v>
      </c>
      <c r="B162" s="45" t="s">
        <v>82</v>
      </c>
      <c r="C162" s="2"/>
      <c r="D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4">
        <v>127.0</v>
      </c>
      <c r="B163" s="45" t="s">
        <v>83</v>
      </c>
      <c r="C163" s="2"/>
      <c r="D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4"/>
      <c r="B164" s="4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2"/>
      <c r="B165" s="8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4"/>
      <c r="B166" s="24" t="s">
        <v>84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4">
        <v>128.0</v>
      </c>
      <c r="B167" s="46" t="s">
        <v>85</v>
      </c>
      <c r="C167" s="2"/>
      <c r="D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4">
        <v>129.0</v>
      </c>
      <c r="B168" s="46" t="s">
        <v>86</v>
      </c>
      <c r="C168" s="2"/>
      <c r="D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4">
        <v>130.0</v>
      </c>
      <c r="B169" s="46" t="s">
        <v>87</v>
      </c>
      <c r="C169" s="2"/>
      <c r="D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4">
        <v>131.0</v>
      </c>
      <c r="B170" s="46" t="str">
        <f>HYPERLINK("https://leetcode.com/problems/is-graph-bipartite/","Bipartite graph")</f>
        <v>Bipartite graph</v>
      </c>
      <c r="C170" s="2"/>
      <c r="D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4">
        <v>132.0</v>
      </c>
      <c r="B171" s="46" t="str">
        <f>HYPERLINK("https://leetcode.com/problems/bus-routes/","Bus routes")</f>
        <v>Bus routes</v>
      </c>
      <c r="C171" s="2"/>
      <c r="D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4">
        <v>133.0</v>
      </c>
      <c r="B172" s="47" t="str">
        <f>HYPERLINK("https://www.spoj.com/problems/MST/","Prim's Algo")</f>
        <v>Prim's Algo</v>
      </c>
      <c r="C172" s="2"/>
      <c r="D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4">
        <v>134.0</v>
      </c>
      <c r="B173" s="46" t="str">
        <f>HYPERLINK("https://www.geeksforgeeks.org/dijkstras-shortest-path-algorithm-greedy-algo-7/","Dijkstra algo")</f>
        <v>Dijkstra algo</v>
      </c>
      <c r="C173" s="2"/>
      <c r="D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4">
        <v>135.0</v>
      </c>
      <c r="B174" s="46" t="s">
        <v>88</v>
      </c>
      <c r="C174" s="2"/>
      <c r="D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4">
        <v>136.0</v>
      </c>
      <c r="B175" s="46" t="str">
        <f>HYPERLINK("https://leetcode.com/problems/01-matrix/","0-1 matrix")</f>
        <v>0-1 matrix</v>
      </c>
      <c r="C175" s="2"/>
      <c r="D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4">
        <v>137.0</v>
      </c>
      <c r="B176" s="46" t="str">
        <f>HYPERLINK("https://www.geeksforgeeks.org/bellman-ford-algorithm-dp-23/","bellman ford")</f>
        <v>bellman ford</v>
      </c>
      <c r="C176" s="2"/>
      <c r="D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4">
        <v>138.0</v>
      </c>
      <c r="B177" s="46" t="s">
        <v>89</v>
      </c>
      <c r="C177" s="2"/>
      <c r="D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4">
        <v>139.0</v>
      </c>
      <c r="B178" s="46" t="s">
        <v>90</v>
      </c>
      <c r="C178" s="2"/>
      <c r="D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4">
        <v>140.0</v>
      </c>
      <c r="B179" s="46" t="str">
        <f>HYPERLINK("https://www.geeksforgeeks.org/topological-sorting-indegree-based-solution/","Kahn's algo")</f>
        <v>Kahn's algo</v>
      </c>
      <c r="C179" s="2"/>
      <c r="D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4">
        <v>141.0</v>
      </c>
      <c r="B180" s="46" t="s">
        <v>91</v>
      </c>
      <c r="C180" s="2"/>
      <c r="D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4">
        <v>142.0</v>
      </c>
      <c r="B181" s="46" t="s">
        <v>92</v>
      </c>
      <c r="C181" s="2"/>
      <c r="D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4">
        <v>143.0</v>
      </c>
      <c r="B182" s="48" t="s">
        <v>93</v>
      </c>
      <c r="C182" s="2"/>
      <c r="D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4">
        <v>144.0</v>
      </c>
      <c r="B183" s="46" t="s">
        <v>94</v>
      </c>
      <c r="C183" s="2"/>
      <c r="D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4">
        <v>145.0</v>
      </c>
      <c r="B184" s="46" t="s">
        <v>95</v>
      </c>
      <c r="C184" s="2"/>
      <c r="D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4">
        <v>146.0</v>
      </c>
      <c r="B185" s="46" t="str">
        <f>HYPERLINK("https://leetcode.com/problems/redundant-connection-ii/","Redundant connection 2")</f>
        <v>Redundant connection 2</v>
      </c>
      <c r="C185" s="2"/>
      <c r="D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4">
        <v>147.0</v>
      </c>
      <c r="B186" s="46" t="str">
        <f>HYPERLINK("https://www.geeksforgeeks.org/articulation-points-or-cut-vertices-in-a-graph/","Articulation point")</f>
        <v>Articulation point</v>
      </c>
      <c r="C186" s="2"/>
      <c r="D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4">
        <v>148.0</v>
      </c>
      <c r="B187" s="46" t="str">
        <f>HYPERLINK("https://www.geeksforgeeks.org/minimum-number-swaps-required-sort-array/","Min swaps required to sort array")</f>
        <v>Min swaps required to sort array</v>
      </c>
      <c r="C187" s="2"/>
      <c r="D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4">
        <v>149.0</v>
      </c>
      <c r="B188" s="46" t="s">
        <v>96</v>
      </c>
      <c r="C188" s="2"/>
      <c r="D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4">
        <v>150.0</v>
      </c>
      <c r="B189" s="46" t="s">
        <v>97</v>
      </c>
      <c r="C189" s="2"/>
      <c r="D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4">
        <v>151.0</v>
      </c>
      <c r="B190" s="46" t="s">
        <v>98</v>
      </c>
      <c r="C190" s="2"/>
      <c r="D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2"/>
      <c r="B191" s="8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4"/>
      <c r="B192" s="4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2"/>
      <c r="B193" s="8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2"/>
      <c r="B194" s="8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2"/>
      <c r="B195" s="8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2"/>
      <c r="B196" s="8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2"/>
      <c r="B197" s="8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2"/>
      <c r="B198" s="8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2"/>
      <c r="B199" s="8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2"/>
      <c r="B200" s="8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2"/>
      <c r="B201" s="8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2"/>
      <c r="B202" s="8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2"/>
      <c r="B203" s="8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2"/>
      <c r="B204" s="8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2"/>
      <c r="B205" s="8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2"/>
      <c r="B206" s="8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2"/>
      <c r="B207" s="8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2"/>
      <c r="B208" s="8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2"/>
      <c r="B209" s="8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2"/>
      <c r="B210" s="8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2"/>
      <c r="B211" s="8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2"/>
      <c r="B212" s="8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2"/>
      <c r="B213" s="8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2"/>
      <c r="B214" s="8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2"/>
      <c r="B215" s="8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2"/>
      <c r="B216" s="8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2"/>
      <c r="B217" s="8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2"/>
      <c r="B218" s="8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2"/>
      <c r="B219" s="8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2"/>
      <c r="B220" s="8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2"/>
      <c r="B221" s="8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2"/>
      <c r="B222" s="8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2"/>
      <c r="B223" s="8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2"/>
      <c r="B224" s="8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2"/>
      <c r="B225" s="8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2"/>
      <c r="B226" s="8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2"/>
      <c r="B227" s="8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2"/>
      <c r="B228" s="8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2"/>
      <c r="B229" s="8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2"/>
      <c r="B230" s="8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2"/>
      <c r="B231" s="8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2"/>
      <c r="B232" s="8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2"/>
      <c r="B233" s="8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2"/>
      <c r="B234" s="8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2"/>
      <c r="B235" s="8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2"/>
      <c r="B236" s="8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2"/>
      <c r="B237" s="8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2"/>
      <c r="B238" s="8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2"/>
      <c r="B239" s="8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2"/>
      <c r="B240" s="8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2"/>
      <c r="B241" s="8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2"/>
      <c r="B242" s="8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2"/>
      <c r="B243" s="8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2"/>
      <c r="B244" s="8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2"/>
      <c r="B245" s="8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2"/>
      <c r="B246" s="8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2"/>
      <c r="B247" s="8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2"/>
      <c r="B248" s="8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2"/>
      <c r="B249" s="8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2"/>
      <c r="B250" s="8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2"/>
      <c r="B251" s="8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2"/>
      <c r="B252" s="8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2"/>
      <c r="B253" s="8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2"/>
      <c r="B254" s="8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2"/>
      <c r="B255" s="8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2"/>
      <c r="B256" s="8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2"/>
      <c r="B257" s="8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2"/>
      <c r="B258" s="8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2"/>
      <c r="B259" s="8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2"/>
      <c r="B260" s="8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2"/>
      <c r="B261" s="8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2"/>
      <c r="B262" s="8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2"/>
      <c r="B263" s="8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2"/>
      <c r="B264" s="8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2"/>
      <c r="B265" s="8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2"/>
      <c r="B266" s="8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2"/>
      <c r="B267" s="8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2"/>
      <c r="B268" s="8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2"/>
      <c r="B269" s="8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2"/>
      <c r="B270" s="8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2"/>
      <c r="B271" s="8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2"/>
      <c r="B272" s="8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2"/>
      <c r="B273" s="8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2"/>
      <c r="B274" s="8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2"/>
      <c r="B275" s="8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2"/>
      <c r="B276" s="8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2"/>
      <c r="B277" s="8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2"/>
      <c r="B278" s="8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2"/>
      <c r="B279" s="8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2"/>
      <c r="B280" s="8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2"/>
      <c r="B281" s="8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2"/>
      <c r="B282" s="8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2"/>
      <c r="B283" s="8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2"/>
      <c r="B284" s="8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2"/>
      <c r="B285" s="8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2"/>
      <c r="B286" s="8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2"/>
      <c r="B287" s="8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2"/>
      <c r="B288" s="8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2"/>
      <c r="B289" s="8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2"/>
      <c r="B290" s="8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2"/>
      <c r="B291" s="8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2"/>
      <c r="B292" s="8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2"/>
      <c r="B293" s="8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2"/>
      <c r="B294" s="8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2"/>
      <c r="B295" s="8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2"/>
      <c r="B296" s="8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2"/>
      <c r="B297" s="8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2"/>
      <c r="B298" s="8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2"/>
      <c r="B299" s="8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2"/>
      <c r="B300" s="8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2"/>
      <c r="B301" s="8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2"/>
      <c r="B302" s="8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2"/>
      <c r="B303" s="8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2"/>
      <c r="B304" s="8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2"/>
      <c r="B305" s="8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2"/>
      <c r="B306" s="8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2"/>
      <c r="B307" s="8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2"/>
      <c r="B308" s="8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2"/>
      <c r="B309" s="8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2"/>
      <c r="B310" s="8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2"/>
      <c r="B311" s="8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2"/>
      <c r="B312" s="8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2"/>
      <c r="B313" s="8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2"/>
      <c r="B314" s="8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2"/>
      <c r="B315" s="8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2"/>
      <c r="B316" s="8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2"/>
      <c r="B317" s="8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2"/>
      <c r="B318" s="8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2"/>
      <c r="B319" s="8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2"/>
      <c r="B320" s="8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2"/>
      <c r="B321" s="8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2"/>
      <c r="B322" s="8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2"/>
      <c r="B323" s="8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2"/>
      <c r="B324" s="8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2"/>
      <c r="B325" s="8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2"/>
      <c r="B326" s="8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2"/>
      <c r="B327" s="8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2"/>
      <c r="B328" s="8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2"/>
      <c r="B329" s="8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2"/>
      <c r="B330" s="8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2"/>
      <c r="B331" s="8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2"/>
      <c r="B332" s="8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2"/>
      <c r="B333" s="8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2"/>
      <c r="B334" s="8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2"/>
      <c r="B335" s="8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2"/>
      <c r="B336" s="8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2"/>
      <c r="B337" s="8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2"/>
      <c r="B338" s="8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2"/>
      <c r="B339" s="8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2"/>
      <c r="B340" s="8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2"/>
      <c r="B341" s="8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2"/>
      <c r="B342" s="8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2"/>
      <c r="B343" s="8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2"/>
      <c r="B344" s="8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2"/>
      <c r="B345" s="8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2"/>
      <c r="B346" s="8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2"/>
      <c r="B347" s="8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2"/>
      <c r="B348" s="8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2"/>
      <c r="B349" s="8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2"/>
      <c r="B350" s="8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2"/>
      <c r="B351" s="8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2"/>
      <c r="B352" s="8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2"/>
      <c r="B353" s="8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2"/>
      <c r="B354" s="8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2"/>
      <c r="B355" s="8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2"/>
      <c r="B356" s="8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2"/>
      <c r="B357" s="8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2"/>
      <c r="B358" s="8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2"/>
      <c r="B359" s="8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2"/>
      <c r="B360" s="8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2"/>
      <c r="B361" s="8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2"/>
      <c r="B362" s="8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2"/>
      <c r="B363" s="8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2"/>
      <c r="B364" s="8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2"/>
      <c r="B365" s="8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2"/>
      <c r="B366" s="8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2"/>
      <c r="B367" s="8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2"/>
      <c r="B368" s="8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2"/>
      <c r="B369" s="8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2"/>
      <c r="B370" s="8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2"/>
      <c r="B371" s="8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2"/>
      <c r="B372" s="8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2"/>
      <c r="B373" s="8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2"/>
      <c r="B374" s="8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2"/>
      <c r="B375" s="8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2"/>
      <c r="B376" s="8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2"/>
      <c r="B377" s="8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2"/>
      <c r="B378" s="8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2"/>
      <c r="B379" s="8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2"/>
      <c r="B380" s="8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2"/>
      <c r="B381" s="8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2"/>
      <c r="B382" s="8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2"/>
      <c r="B383" s="8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2"/>
      <c r="B384" s="8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2"/>
      <c r="B385" s="8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2"/>
      <c r="B386" s="8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2"/>
      <c r="B387" s="8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2"/>
      <c r="B388" s="8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2"/>
      <c r="B389" s="8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2"/>
      <c r="B390" s="8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2"/>
      <c r="B391" s="8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2"/>
      <c r="B392" s="8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2"/>
      <c r="B393" s="8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2"/>
      <c r="B394" s="8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2"/>
      <c r="B395" s="8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2"/>
      <c r="B396" s="8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2"/>
      <c r="B397" s="8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2"/>
      <c r="B398" s="8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2"/>
      <c r="B399" s="8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2"/>
      <c r="B400" s="8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2"/>
      <c r="B401" s="8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2"/>
      <c r="B402" s="8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2"/>
      <c r="B403" s="8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2"/>
      <c r="B404" s="8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2"/>
      <c r="B405" s="8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2"/>
      <c r="B406" s="8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2"/>
      <c r="B407" s="8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2"/>
      <c r="B408" s="8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2"/>
      <c r="B409" s="8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2"/>
      <c r="B410" s="8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2"/>
      <c r="B411" s="8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2"/>
      <c r="B412" s="8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2"/>
      <c r="B413" s="8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2"/>
      <c r="B414" s="8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2"/>
      <c r="B415" s="8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2"/>
      <c r="B416" s="8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2"/>
      <c r="B417" s="8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2"/>
      <c r="B418" s="8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2"/>
      <c r="B419" s="8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2"/>
      <c r="B420" s="8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2"/>
      <c r="B421" s="8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2"/>
      <c r="B422" s="8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2"/>
      <c r="B423" s="8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2"/>
      <c r="B424" s="8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2"/>
      <c r="B425" s="8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2"/>
      <c r="B426" s="8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2"/>
      <c r="B427" s="8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2"/>
      <c r="B428" s="8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2"/>
      <c r="B429" s="8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2"/>
      <c r="B430" s="8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2"/>
      <c r="B431" s="8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2"/>
      <c r="B432" s="8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2"/>
      <c r="B433" s="8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2"/>
      <c r="B434" s="8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2"/>
      <c r="B435" s="8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2"/>
      <c r="B436" s="8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2"/>
      <c r="B437" s="8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2"/>
      <c r="B438" s="8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2"/>
      <c r="B439" s="8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2"/>
      <c r="B440" s="8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2"/>
      <c r="B441" s="8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2"/>
      <c r="B442" s="8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2"/>
      <c r="B443" s="8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2"/>
      <c r="B444" s="8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2"/>
      <c r="B445" s="8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2"/>
      <c r="B446" s="8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2"/>
      <c r="B447" s="8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2"/>
      <c r="B448" s="8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2"/>
      <c r="B449" s="8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2"/>
      <c r="B450" s="8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2"/>
      <c r="B451" s="8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2"/>
      <c r="B452" s="8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2"/>
      <c r="B453" s="8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2"/>
      <c r="B454" s="8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2"/>
      <c r="B455" s="8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2"/>
      <c r="B456" s="8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2"/>
      <c r="B457" s="8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2"/>
      <c r="B458" s="8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2"/>
      <c r="B459" s="8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2"/>
      <c r="B460" s="8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2"/>
      <c r="B461" s="8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2"/>
      <c r="B462" s="8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2"/>
      <c r="B463" s="8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2"/>
      <c r="B464" s="8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2"/>
      <c r="B465" s="8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2"/>
      <c r="B466" s="8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2"/>
      <c r="B467" s="8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2"/>
      <c r="B468" s="8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2"/>
      <c r="B469" s="8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2"/>
      <c r="B470" s="8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2"/>
      <c r="B471" s="8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2"/>
      <c r="B472" s="8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2"/>
      <c r="B473" s="8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2"/>
      <c r="B474" s="8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2"/>
      <c r="B475" s="8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2"/>
      <c r="B476" s="8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2"/>
      <c r="B477" s="8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2"/>
      <c r="B478" s="8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2"/>
      <c r="B479" s="8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2"/>
      <c r="B480" s="8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2"/>
      <c r="B481" s="8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2"/>
      <c r="B482" s="8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2"/>
      <c r="B483" s="8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2"/>
      <c r="B484" s="8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2"/>
      <c r="B485" s="8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2"/>
      <c r="B486" s="8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2"/>
      <c r="B487" s="8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2"/>
      <c r="B488" s="8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2"/>
      <c r="B489" s="8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2"/>
      <c r="B490" s="8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2"/>
      <c r="B491" s="8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2"/>
      <c r="B492" s="8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2"/>
      <c r="B493" s="8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2"/>
      <c r="B494" s="8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2"/>
      <c r="B495" s="8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2"/>
      <c r="B496" s="8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2"/>
      <c r="B497" s="8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2"/>
      <c r="B498" s="8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2"/>
      <c r="B499" s="8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2"/>
      <c r="B500" s="8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2"/>
      <c r="B501" s="8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2"/>
      <c r="B502" s="8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2"/>
      <c r="B503" s="8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2"/>
      <c r="B504" s="8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2"/>
      <c r="B505" s="8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2"/>
      <c r="B506" s="8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2"/>
      <c r="B507" s="8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2"/>
      <c r="B508" s="8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2"/>
      <c r="B509" s="8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2"/>
      <c r="B510" s="8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2"/>
      <c r="B511" s="8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2"/>
      <c r="B512" s="8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2"/>
      <c r="B513" s="8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2"/>
      <c r="B514" s="8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2"/>
      <c r="B515" s="8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2"/>
      <c r="B516" s="8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2"/>
      <c r="B517" s="8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2"/>
      <c r="B518" s="8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2"/>
      <c r="B519" s="8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2"/>
      <c r="B520" s="8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2"/>
      <c r="B521" s="8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2"/>
      <c r="B522" s="8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2"/>
      <c r="B523" s="8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2"/>
      <c r="B524" s="8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2"/>
      <c r="B525" s="8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2"/>
      <c r="B526" s="8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2"/>
      <c r="B527" s="8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2"/>
      <c r="B528" s="8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2"/>
      <c r="B529" s="8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2"/>
      <c r="B530" s="8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2"/>
      <c r="B531" s="8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2"/>
      <c r="B532" s="8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2"/>
      <c r="B533" s="8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2"/>
      <c r="B534" s="8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2"/>
      <c r="B535" s="8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2"/>
      <c r="B536" s="8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2"/>
      <c r="B537" s="8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2"/>
      <c r="B538" s="8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2"/>
      <c r="B539" s="8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2"/>
      <c r="B540" s="8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2"/>
      <c r="B541" s="8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2"/>
      <c r="B542" s="8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2"/>
      <c r="B543" s="8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2"/>
      <c r="B544" s="8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2"/>
      <c r="B545" s="8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2"/>
      <c r="B546" s="8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2"/>
      <c r="B547" s="8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2"/>
      <c r="B548" s="8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2"/>
      <c r="B549" s="8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2"/>
      <c r="B550" s="8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2"/>
      <c r="B551" s="8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2"/>
      <c r="B552" s="8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2"/>
      <c r="B553" s="8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2"/>
      <c r="B554" s="8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2"/>
      <c r="B555" s="8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2"/>
      <c r="B556" s="8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2"/>
      <c r="B557" s="8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2"/>
      <c r="B558" s="8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2"/>
      <c r="B559" s="8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2"/>
      <c r="B560" s="8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2"/>
      <c r="B561" s="8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2"/>
      <c r="B562" s="8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2"/>
      <c r="B563" s="8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2"/>
      <c r="B564" s="8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2"/>
      <c r="B565" s="8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2"/>
      <c r="B566" s="8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2"/>
      <c r="B567" s="8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2"/>
      <c r="B568" s="8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2"/>
      <c r="B569" s="8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2"/>
      <c r="B570" s="8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2"/>
      <c r="B571" s="8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2"/>
      <c r="B572" s="8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2"/>
      <c r="B573" s="8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2"/>
      <c r="B574" s="8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2"/>
      <c r="B575" s="8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2"/>
      <c r="B576" s="8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2"/>
      <c r="B577" s="8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2"/>
      <c r="B578" s="8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2"/>
      <c r="B579" s="8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2"/>
      <c r="B580" s="8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2"/>
      <c r="B581" s="8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2"/>
      <c r="B582" s="8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2"/>
      <c r="B583" s="8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2"/>
      <c r="B584" s="8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2"/>
      <c r="B585" s="8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2"/>
      <c r="B586" s="8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2"/>
      <c r="B587" s="8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2"/>
      <c r="B588" s="8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2"/>
      <c r="B589" s="8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2"/>
      <c r="B590" s="8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2"/>
      <c r="B591" s="8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2"/>
      <c r="B592" s="8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2"/>
      <c r="B593" s="8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2"/>
      <c r="B594" s="8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2"/>
      <c r="B595" s="8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2"/>
      <c r="B596" s="8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2"/>
      <c r="B597" s="8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2"/>
      <c r="B598" s="8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2"/>
      <c r="B599" s="8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2"/>
      <c r="B600" s="8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2"/>
      <c r="B601" s="8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2"/>
      <c r="B602" s="8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2"/>
      <c r="B603" s="8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2"/>
      <c r="B604" s="8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2"/>
      <c r="B605" s="8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2"/>
      <c r="B606" s="8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2"/>
      <c r="B607" s="8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2"/>
      <c r="B608" s="8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2"/>
      <c r="B609" s="8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2"/>
      <c r="B610" s="8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2"/>
      <c r="B611" s="8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2"/>
      <c r="B612" s="8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2"/>
      <c r="B613" s="8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2"/>
      <c r="B614" s="8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2"/>
      <c r="B615" s="8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2"/>
      <c r="B616" s="8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2"/>
      <c r="B617" s="8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2"/>
      <c r="B618" s="8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2"/>
      <c r="B619" s="8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2"/>
      <c r="B620" s="8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2"/>
      <c r="B621" s="8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2"/>
      <c r="B622" s="8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2"/>
      <c r="B623" s="8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2"/>
      <c r="B624" s="8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2"/>
      <c r="B625" s="8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2"/>
      <c r="B626" s="8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2"/>
      <c r="B627" s="8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2"/>
      <c r="B628" s="8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2"/>
      <c r="B629" s="8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2"/>
      <c r="B630" s="8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2"/>
      <c r="B631" s="8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2"/>
      <c r="B632" s="8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2"/>
      <c r="B633" s="8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2"/>
      <c r="B634" s="8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2"/>
      <c r="B635" s="8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2"/>
      <c r="B636" s="8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2"/>
      <c r="B637" s="8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2"/>
      <c r="B638" s="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2"/>
      <c r="B639" s="8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2"/>
      <c r="B640" s="8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2"/>
      <c r="B641" s="8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2"/>
      <c r="B642" s="8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2"/>
      <c r="B643" s="8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2"/>
      <c r="B644" s="8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2"/>
      <c r="B645" s="8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2"/>
      <c r="B646" s="8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2"/>
      <c r="B647" s="8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2"/>
      <c r="B648" s="8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2"/>
      <c r="B649" s="8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2"/>
      <c r="B650" s="8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2"/>
      <c r="B651" s="8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2"/>
      <c r="B652" s="8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2"/>
      <c r="B653" s="8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2"/>
      <c r="B654" s="8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2"/>
      <c r="B655" s="8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2"/>
      <c r="B656" s="8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2"/>
      <c r="B657" s="8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2"/>
      <c r="B658" s="8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2"/>
      <c r="B659" s="8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2"/>
      <c r="B660" s="8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2"/>
      <c r="B661" s="8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2"/>
      <c r="B662" s="8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2"/>
      <c r="B663" s="8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2"/>
      <c r="B664" s="8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2"/>
      <c r="B665" s="8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2"/>
      <c r="B666" s="8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2"/>
      <c r="B667" s="8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2"/>
      <c r="B668" s="8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2"/>
      <c r="B669" s="8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2"/>
      <c r="B670" s="8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2"/>
      <c r="B671" s="8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2"/>
      <c r="B672" s="8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2"/>
      <c r="B673" s="8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2"/>
      <c r="B674" s="8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2"/>
      <c r="B675" s="8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2"/>
      <c r="B676" s="8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2"/>
      <c r="B677" s="8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2"/>
      <c r="B678" s="8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2"/>
      <c r="B679" s="8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2"/>
      <c r="B680" s="8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2"/>
      <c r="B681" s="8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2"/>
      <c r="B682" s="8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2"/>
      <c r="B683" s="8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2"/>
      <c r="B684" s="8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2"/>
      <c r="B685" s="8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2"/>
      <c r="B686" s="8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2"/>
      <c r="B687" s="8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2"/>
      <c r="B688" s="8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2"/>
      <c r="B689" s="8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2"/>
      <c r="B690" s="8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2"/>
      <c r="B691" s="8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2"/>
      <c r="B692" s="8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2"/>
      <c r="B693" s="8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2"/>
      <c r="B694" s="8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2"/>
      <c r="B695" s="8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2"/>
      <c r="B696" s="8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2"/>
      <c r="B697" s="8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2"/>
      <c r="B698" s="8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2"/>
      <c r="B699" s="8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2"/>
      <c r="B700" s="8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2"/>
      <c r="B701" s="8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2"/>
      <c r="B702" s="8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2"/>
      <c r="B703" s="8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2"/>
      <c r="B704" s="8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2"/>
      <c r="B705" s="8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2"/>
      <c r="B706" s="8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2"/>
      <c r="B707" s="8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2"/>
      <c r="B708" s="8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2"/>
      <c r="B709" s="8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2"/>
      <c r="B710" s="8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2"/>
      <c r="B711" s="8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2"/>
      <c r="B712" s="8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2"/>
      <c r="B713" s="8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2"/>
      <c r="B714" s="8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2"/>
      <c r="B715" s="8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2"/>
      <c r="B716" s="8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2"/>
      <c r="B717" s="8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2"/>
      <c r="B718" s="8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2"/>
      <c r="B719" s="8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2"/>
      <c r="B720" s="8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2"/>
      <c r="B721" s="8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2"/>
      <c r="B722" s="8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2"/>
      <c r="B723" s="8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2"/>
      <c r="B724" s="8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2"/>
      <c r="B725" s="8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2"/>
      <c r="B726" s="8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2"/>
      <c r="B727" s="8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2"/>
      <c r="B728" s="8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2"/>
      <c r="B729" s="8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2"/>
      <c r="B730" s="8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2"/>
      <c r="B731" s="8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2"/>
      <c r="B732" s="8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2"/>
      <c r="B733" s="8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2"/>
      <c r="B734" s="8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2"/>
      <c r="B735" s="8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2"/>
      <c r="B736" s="8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2"/>
      <c r="B737" s="8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2"/>
      <c r="B738" s="8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2"/>
      <c r="B739" s="8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2"/>
      <c r="B740" s="8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2"/>
      <c r="B741" s="8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2"/>
      <c r="B742" s="8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2"/>
      <c r="B743" s="8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2"/>
      <c r="B744" s="8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2"/>
      <c r="B745" s="8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2"/>
      <c r="B746" s="8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2"/>
      <c r="B747" s="8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2"/>
      <c r="B748" s="8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2"/>
      <c r="B749" s="8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2"/>
      <c r="B750" s="8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2"/>
      <c r="B751" s="8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2"/>
      <c r="B752" s="8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2"/>
      <c r="B753" s="8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2"/>
      <c r="B754" s="8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2"/>
      <c r="B755" s="8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2"/>
      <c r="B756" s="8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2"/>
      <c r="B757" s="8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2"/>
      <c r="B758" s="8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2"/>
      <c r="B759" s="8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2"/>
      <c r="B760" s="8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2"/>
      <c r="B761" s="8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2"/>
      <c r="B762" s="8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2"/>
      <c r="B763" s="8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2"/>
      <c r="B764" s="8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2"/>
      <c r="B765" s="8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2"/>
      <c r="B766" s="8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2"/>
      <c r="B767" s="8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2"/>
      <c r="B768" s="8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2"/>
      <c r="B769" s="8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2"/>
      <c r="B770" s="8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2"/>
      <c r="B771" s="8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2"/>
      <c r="B772" s="8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2"/>
      <c r="B773" s="8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2"/>
      <c r="B774" s="8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2"/>
      <c r="B775" s="8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2"/>
      <c r="B776" s="8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2"/>
      <c r="B777" s="8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2"/>
      <c r="B778" s="8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2"/>
      <c r="B779" s="8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2"/>
      <c r="B780" s="8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2"/>
      <c r="B781" s="8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2"/>
      <c r="B782" s="8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2"/>
      <c r="B783" s="8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2"/>
      <c r="B784" s="8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2"/>
      <c r="B785" s="8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2"/>
      <c r="B786" s="8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2"/>
      <c r="B787" s="8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2"/>
      <c r="B788" s="8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2"/>
      <c r="B789" s="8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2"/>
      <c r="B790" s="8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2"/>
      <c r="B791" s="8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2"/>
      <c r="B792" s="8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2"/>
      <c r="B793" s="8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2"/>
      <c r="B794" s="8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2"/>
      <c r="B795" s="8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2"/>
      <c r="B796" s="8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2"/>
      <c r="B797" s="8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2"/>
      <c r="B798" s="8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2"/>
      <c r="B799" s="8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2"/>
      <c r="B800" s="8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2"/>
      <c r="B801" s="8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2"/>
      <c r="B802" s="8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2"/>
      <c r="B803" s="8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2"/>
      <c r="B804" s="8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2"/>
      <c r="B805" s="8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2"/>
      <c r="B806" s="8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2"/>
      <c r="B807" s="8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2"/>
      <c r="B808" s="8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2"/>
      <c r="B809" s="8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2"/>
      <c r="B810" s="8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2"/>
      <c r="B811" s="8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2"/>
      <c r="B812" s="8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2"/>
      <c r="B813" s="8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2"/>
      <c r="B814" s="8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2"/>
      <c r="B815" s="8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2"/>
      <c r="B816" s="8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2"/>
      <c r="B817" s="8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2"/>
      <c r="B818" s="8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2"/>
      <c r="B819" s="8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2"/>
      <c r="B820" s="8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2"/>
      <c r="B821" s="8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2"/>
      <c r="B822" s="8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2"/>
      <c r="B823" s="8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2"/>
      <c r="B824" s="8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2"/>
      <c r="B825" s="8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2"/>
      <c r="B826" s="8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2"/>
      <c r="B827" s="8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2"/>
      <c r="B828" s="8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2"/>
      <c r="B829" s="8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2"/>
      <c r="B830" s="8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2"/>
      <c r="B831" s="8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2"/>
      <c r="B832" s="8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2"/>
      <c r="B833" s="8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2"/>
      <c r="B834" s="8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2"/>
      <c r="B835" s="8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2"/>
      <c r="B836" s="8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2"/>
      <c r="B837" s="8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2"/>
      <c r="B838" s="8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2"/>
      <c r="B839" s="8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2"/>
      <c r="B840" s="8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2"/>
      <c r="B841" s="8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2"/>
      <c r="B842" s="8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2"/>
      <c r="B843" s="8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2"/>
      <c r="B844" s="8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2"/>
      <c r="B845" s="8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2"/>
      <c r="B846" s="8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2"/>
      <c r="B847" s="8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2"/>
      <c r="B848" s="8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2"/>
      <c r="B849" s="8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2"/>
      <c r="B850" s="8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2"/>
      <c r="B851" s="8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2"/>
      <c r="B852" s="8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2"/>
      <c r="B853" s="8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2"/>
      <c r="B854" s="8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2"/>
      <c r="B855" s="8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2"/>
      <c r="B856" s="8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2"/>
      <c r="B857" s="8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2"/>
      <c r="B858" s="8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2"/>
      <c r="B859" s="8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2"/>
      <c r="B860" s="8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2"/>
      <c r="B861" s="8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2"/>
      <c r="B862" s="8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2"/>
      <c r="B863" s="8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2"/>
      <c r="B864" s="8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2"/>
      <c r="B865" s="8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2"/>
      <c r="B866" s="8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2"/>
      <c r="B867" s="8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2"/>
      <c r="B868" s="8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2"/>
      <c r="B869" s="8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2"/>
      <c r="B870" s="8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2"/>
      <c r="B871" s="8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2"/>
      <c r="B872" s="8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2"/>
      <c r="B873" s="8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2"/>
      <c r="B874" s="8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2"/>
      <c r="B875" s="8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2"/>
      <c r="B876" s="8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2"/>
      <c r="B877" s="8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2"/>
      <c r="B878" s="8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2"/>
      <c r="B879" s="8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2"/>
      <c r="B880" s="8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2"/>
      <c r="B881" s="8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2"/>
      <c r="B882" s="8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2"/>
      <c r="B883" s="8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2"/>
      <c r="B884" s="8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2"/>
      <c r="B885" s="8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2"/>
      <c r="B886" s="8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2"/>
      <c r="B887" s="8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2"/>
      <c r="B888" s="8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2"/>
      <c r="B889" s="8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2"/>
      <c r="B890" s="8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2"/>
      <c r="B891" s="8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2"/>
      <c r="B892" s="8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2"/>
      <c r="B893" s="8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2"/>
      <c r="B894" s="8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2"/>
      <c r="B895" s="8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2"/>
      <c r="B896" s="8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2"/>
      <c r="B897" s="8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2"/>
      <c r="B898" s="8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2"/>
      <c r="B899" s="8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2"/>
      <c r="B900" s="8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2"/>
      <c r="B901" s="8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2"/>
      <c r="B902" s="8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2"/>
      <c r="B903" s="8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2"/>
      <c r="B904" s="8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2"/>
      <c r="B905" s="8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2"/>
      <c r="B906" s="8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2"/>
      <c r="B907" s="8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2"/>
      <c r="B908" s="8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2"/>
      <c r="B909" s="8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2"/>
      <c r="B910" s="8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2"/>
      <c r="B911" s="8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2"/>
      <c r="B912" s="8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2"/>
      <c r="B913" s="8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2"/>
      <c r="B914" s="8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2"/>
      <c r="B915" s="8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2"/>
      <c r="B916" s="8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2"/>
      <c r="B917" s="8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2"/>
      <c r="B918" s="8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2"/>
      <c r="B919" s="8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2"/>
      <c r="B920" s="8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2"/>
      <c r="B921" s="8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2"/>
      <c r="B922" s="8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2"/>
      <c r="B923" s="8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2"/>
      <c r="B924" s="8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2"/>
      <c r="B925" s="8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2"/>
      <c r="B926" s="8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2"/>
      <c r="B927" s="8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2"/>
      <c r="B928" s="8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2"/>
      <c r="B929" s="8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2"/>
      <c r="B930" s="8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2"/>
      <c r="B931" s="8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2"/>
      <c r="B932" s="8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2"/>
      <c r="B933" s="8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2"/>
      <c r="B934" s="8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2"/>
      <c r="B935" s="8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2"/>
      <c r="B936" s="8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2"/>
      <c r="B937" s="8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2"/>
      <c r="B938" s="8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2"/>
      <c r="B939" s="8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2"/>
      <c r="B940" s="8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2"/>
      <c r="B941" s="8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2"/>
      <c r="B942" s="8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2"/>
      <c r="B943" s="8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2"/>
      <c r="B944" s="8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2"/>
      <c r="B945" s="8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2"/>
      <c r="B946" s="8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2"/>
      <c r="B947" s="8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2"/>
      <c r="B948" s="8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2"/>
      <c r="B949" s="8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2"/>
      <c r="B950" s="8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2"/>
      <c r="B951" s="8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2"/>
      <c r="B952" s="8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2"/>
      <c r="B953" s="8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2"/>
      <c r="B954" s="8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2"/>
      <c r="B955" s="8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2"/>
      <c r="B956" s="8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2"/>
      <c r="B957" s="8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2"/>
      <c r="B958" s="8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2"/>
      <c r="B959" s="8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2"/>
      <c r="B960" s="8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2"/>
      <c r="B961" s="8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2"/>
      <c r="B962" s="8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2"/>
      <c r="B963" s="8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2"/>
      <c r="B964" s="8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2"/>
      <c r="B965" s="8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2"/>
      <c r="B966" s="8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2"/>
      <c r="B967" s="8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2"/>
      <c r="B968" s="8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2"/>
      <c r="B969" s="8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2"/>
      <c r="B970" s="8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2"/>
      <c r="B971" s="8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2"/>
      <c r="B972" s="8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2"/>
      <c r="B973" s="8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2"/>
      <c r="B974" s="8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2"/>
      <c r="B975" s="8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2"/>
      <c r="B976" s="8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2"/>
      <c r="B977" s="8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2"/>
      <c r="B978" s="8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2"/>
      <c r="B979" s="8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2"/>
      <c r="B980" s="8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2"/>
      <c r="B981" s="8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2"/>
      <c r="B982" s="8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2"/>
      <c r="B983" s="8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2"/>
      <c r="B984" s="8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2"/>
      <c r="B985" s="8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2"/>
      <c r="B986" s="8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2"/>
      <c r="B987" s="8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2"/>
      <c r="B988" s="8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2"/>
      <c r="B989" s="8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2"/>
      <c r="B990" s="8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2"/>
      <c r="B991" s="8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2"/>
      <c r="B992" s="8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2"/>
      <c r="B993" s="8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2"/>
      <c r="B994" s="8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2"/>
      <c r="B995" s="8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2"/>
      <c r="B996" s="8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2"/>
      <c r="B997" s="8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2"/>
      <c r="B998" s="8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2"/>
      <c r="B999" s="8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2"/>
      <c r="B1000" s="8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56">
    <mergeCell ref="A1:H1"/>
    <mergeCell ref="A2:H2"/>
    <mergeCell ref="B4:F4"/>
    <mergeCell ref="D5:H5"/>
    <mergeCell ref="D10:H10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9:H29"/>
    <mergeCell ref="D30:H30"/>
    <mergeCell ref="D31:H31"/>
    <mergeCell ref="D34:H34"/>
    <mergeCell ref="D35:H35"/>
    <mergeCell ref="D36:H36"/>
    <mergeCell ref="D37:H37"/>
    <mergeCell ref="D38:H38"/>
    <mergeCell ref="D39:H39"/>
    <mergeCell ref="D40:H40"/>
    <mergeCell ref="D43:H43"/>
    <mergeCell ref="D44:H44"/>
    <mergeCell ref="D45:H45"/>
    <mergeCell ref="D46:H46"/>
    <mergeCell ref="D47:H47"/>
    <mergeCell ref="D50:H50"/>
    <mergeCell ref="D51:H51"/>
    <mergeCell ref="D52:H52"/>
    <mergeCell ref="D53:H53"/>
    <mergeCell ref="D54:H54"/>
    <mergeCell ref="D55:H55"/>
    <mergeCell ref="D56:H56"/>
    <mergeCell ref="D57:H57"/>
    <mergeCell ref="D58:H58"/>
    <mergeCell ref="D59:H59"/>
    <mergeCell ref="D60:H60"/>
    <mergeCell ref="D61:H61"/>
    <mergeCell ref="D62:H62"/>
    <mergeCell ref="D65:H65"/>
    <mergeCell ref="D66:H66"/>
    <mergeCell ref="D67:H67"/>
    <mergeCell ref="D68:H68"/>
    <mergeCell ref="D69:H69"/>
    <mergeCell ref="D72:H72"/>
    <mergeCell ref="D73:H73"/>
    <mergeCell ref="D74:H74"/>
    <mergeCell ref="D75:H75"/>
    <mergeCell ref="D76:H76"/>
    <mergeCell ref="D77:H77"/>
    <mergeCell ref="D80:H80"/>
    <mergeCell ref="D81:H81"/>
    <mergeCell ref="D82:H82"/>
    <mergeCell ref="D83:H83"/>
    <mergeCell ref="D84:H84"/>
    <mergeCell ref="D85:H85"/>
    <mergeCell ref="D88:H88"/>
    <mergeCell ref="D89:H89"/>
    <mergeCell ref="D90:H90"/>
    <mergeCell ref="D91:H91"/>
    <mergeCell ref="D92:H92"/>
    <mergeCell ref="D93:H93"/>
    <mergeCell ref="D94:H94"/>
    <mergeCell ref="D95:H95"/>
    <mergeCell ref="D96:H96"/>
    <mergeCell ref="D100:H100"/>
    <mergeCell ref="D101:H101"/>
    <mergeCell ref="D102:H102"/>
    <mergeCell ref="D103:H103"/>
    <mergeCell ref="D104:H104"/>
    <mergeCell ref="D105:H105"/>
    <mergeCell ref="D106:H106"/>
    <mergeCell ref="D107:H107"/>
    <mergeCell ref="D108:H108"/>
    <mergeCell ref="D109:H109"/>
    <mergeCell ref="D110:H110"/>
    <mergeCell ref="D111:H111"/>
    <mergeCell ref="D112:H112"/>
    <mergeCell ref="D113:H113"/>
    <mergeCell ref="D114:H114"/>
    <mergeCell ref="D115:H115"/>
    <mergeCell ref="D116:H116"/>
    <mergeCell ref="D117:H117"/>
    <mergeCell ref="D118:H118"/>
    <mergeCell ref="D122:H122"/>
    <mergeCell ref="D123:H123"/>
    <mergeCell ref="D124:H124"/>
    <mergeCell ref="D127:H127"/>
    <mergeCell ref="D128:H128"/>
    <mergeCell ref="D129:H129"/>
    <mergeCell ref="D189:H189"/>
    <mergeCell ref="D190:H190"/>
    <mergeCell ref="D182:H182"/>
    <mergeCell ref="D183:H183"/>
    <mergeCell ref="D184:H184"/>
    <mergeCell ref="D185:H185"/>
    <mergeCell ref="D186:H186"/>
    <mergeCell ref="D187:H187"/>
    <mergeCell ref="D188:H188"/>
    <mergeCell ref="D130:H130"/>
    <mergeCell ref="D131:H131"/>
    <mergeCell ref="D132:H132"/>
    <mergeCell ref="D133:H133"/>
    <mergeCell ref="D134:H134"/>
    <mergeCell ref="D135:H135"/>
    <mergeCell ref="D136:H136"/>
    <mergeCell ref="D137:H137"/>
    <mergeCell ref="D138:H138"/>
    <mergeCell ref="D139:H139"/>
    <mergeCell ref="D140:H140"/>
    <mergeCell ref="D141:H141"/>
    <mergeCell ref="D142:H142"/>
    <mergeCell ref="D143:H143"/>
    <mergeCell ref="D144:H144"/>
    <mergeCell ref="D145:H145"/>
    <mergeCell ref="D146:H146"/>
    <mergeCell ref="D147:H147"/>
    <mergeCell ref="D148:H148"/>
    <mergeCell ref="D149:H149"/>
    <mergeCell ref="D150:H150"/>
    <mergeCell ref="D151:H151"/>
    <mergeCell ref="D152:H152"/>
    <mergeCell ref="D153:H153"/>
    <mergeCell ref="D154:H154"/>
    <mergeCell ref="D155:H155"/>
    <mergeCell ref="D156:H156"/>
    <mergeCell ref="D157:H157"/>
    <mergeCell ref="D158:H158"/>
    <mergeCell ref="D159:H159"/>
    <mergeCell ref="D160:H160"/>
    <mergeCell ref="D161:H161"/>
    <mergeCell ref="D162:H162"/>
    <mergeCell ref="D163:H163"/>
    <mergeCell ref="D167:H167"/>
    <mergeCell ref="D168:H168"/>
    <mergeCell ref="D169:H169"/>
    <mergeCell ref="D170:H170"/>
    <mergeCell ref="D171:H171"/>
    <mergeCell ref="D172:H172"/>
    <mergeCell ref="D173:H173"/>
    <mergeCell ref="D174:H174"/>
    <mergeCell ref="D175:H175"/>
    <mergeCell ref="D176:H176"/>
    <mergeCell ref="D177:H177"/>
    <mergeCell ref="D178:H178"/>
    <mergeCell ref="D179:H179"/>
    <mergeCell ref="D180:H180"/>
    <mergeCell ref="D181:H181"/>
  </mergeCells>
  <dataValidations>
    <dataValidation type="list" allowBlank="1" showErrorMessage="1" sqref="C13:C26 C29:C31 C34:C40 C43:C47 C50:C62 C65:C69 C72:C77 C80:C85 C88:C96 C100:C118 C122:C124 C127:C163 C167:C190">
      <formula1>"No,Yes"</formula1>
    </dataValidation>
  </dataValidations>
  <hyperlinks>
    <hyperlink r:id="rId1" ref="B4"/>
    <hyperlink r:id="rId2" ref="B13"/>
    <hyperlink r:id="rId3" ref="B14"/>
    <hyperlink r:id="rId4" ref="B15"/>
    <hyperlink r:id="rId5" ref="B19"/>
    <hyperlink r:id="rId6" ref="B21"/>
    <hyperlink r:id="rId7" ref="B24"/>
    <hyperlink r:id="rId8" ref="B26"/>
    <hyperlink r:id="rId9" ref="B29"/>
    <hyperlink r:id="rId10" ref="B34"/>
    <hyperlink r:id="rId11" ref="B35"/>
    <hyperlink r:id="rId12" ref="B36"/>
    <hyperlink r:id="rId13" ref="B37"/>
    <hyperlink r:id="rId14" ref="B38"/>
    <hyperlink r:id="rId15" ref="B39"/>
    <hyperlink r:id="rId16" ref="B40"/>
    <hyperlink r:id="rId17" ref="B43"/>
    <hyperlink r:id="rId18" ref="B44"/>
    <hyperlink r:id="rId19" ref="B45"/>
    <hyperlink r:id="rId20" ref="B46"/>
    <hyperlink r:id="rId21" ref="B47"/>
    <hyperlink r:id="rId22" ref="B53"/>
    <hyperlink r:id="rId23" ref="B54"/>
    <hyperlink r:id="rId24" ref="B60"/>
    <hyperlink r:id="rId25" ref="B65"/>
    <hyperlink r:id="rId26" ref="B67"/>
    <hyperlink r:id="rId27" ref="B69"/>
    <hyperlink r:id="rId28" ref="B73"/>
    <hyperlink r:id="rId29" ref="B75"/>
    <hyperlink r:id="rId30" ref="B76"/>
    <hyperlink r:id="rId31" ref="B84"/>
    <hyperlink r:id="rId32" ref="B88"/>
    <hyperlink r:id="rId33" ref="B94"/>
    <hyperlink r:id="rId34" ref="B96"/>
    <hyperlink r:id="rId35" ref="B105"/>
    <hyperlink r:id="rId36" ref="B111"/>
    <hyperlink r:id="rId37" ref="B112"/>
    <hyperlink r:id="rId38" ref="B114"/>
    <hyperlink r:id="rId39" ref="B122"/>
    <hyperlink r:id="rId40" ref="B123"/>
    <hyperlink r:id="rId41" ref="B124"/>
    <hyperlink r:id="rId42" ref="B127"/>
    <hyperlink r:id="rId43" ref="B128"/>
    <hyperlink r:id="rId44" ref="B129"/>
    <hyperlink r:id="rId45" ref="B131"/>
    <hyperlink r:id="rId46" ref="B132"/>
    <hyperlink r:id="rId47" ref="B133"/>
    <hyperlink r:id="rId48" ref="B134"/>
    <hyperlink r:id="rId49" ref="B135"/>
    <hyperlink r:id="rId50" ref="B137"/>
    <hyperlink r:id="rId51" ref="B138"/>
    <hyperlink r:id="rId52" ref="B139"/>
    <hyperlink r:id="rId53" ref="B142"/>
    <hyperlink r:id="rId54" ref="B147"/>
    <hyperlink r:id="rId55" ref="B148"/>
    <hyperlink r:id="rId56" ref="B149"/>
    <hyperlink r:id="rId57" ref="B153"/>
    <hyperlink r:id="rId58" ref="B154"/>
    <hyperlink r:id="rId59" ref="B155"/>
    <hyperlink r:id="rId60" ref="B156"/>
    <hyperlink r:id="rId61" ref="B157"/>
    <hyperlink r:id="rId62" ref="B158"/>
    <hyperlink r:id="rId63" ref="B159"/>
    <hyperlink r:id="rId64" ref="B160"/>
    <hyperlink r:id="rId65" ref="B161"/>
    <hyperlink r:id="rId66" ref="B162"/>
    <hyperlink r:id="rId67" ref="B163"/>
    <hyperlink r:id="rId68" ref="B167"/>
    <hyperlink r:id="rId69" ref="B168"/>
    <hyperlink r:id="rId70" ref="B169"/>
    <hyperlink r:id="rId71" ref="B174"/>
    <hyperlink r:id="rId72" ref="B177"/>
    <hyperlink r:id="rId73" ref="B178"/>
    <hyperlink r:id="rId74" ref="B180"/>
    <hyperlink r:id="rId75" ref="B181"/>
    <hyperlink r:id="rId76" ref="B182"/>
    <hyperlink r:id="rId77" ref="B183"/>
    <hyperlink r:id="rId78" ref="B184"/>
    <hyperlink r:id="rId79" ref="B188"/>
    <hyperlink r:id="rId80" ref="B189"/>
    <hyperlink r:id="rId81" ref="B190"/>
  </hyperlinks>
  <drawing r:id="rId82"/>
</worksheet>
</file>